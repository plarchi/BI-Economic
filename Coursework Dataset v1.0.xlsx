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connecthkuhk-my.sharepoint.com/personal/plarchi_connect_hku_hk/Documents/Data_Engineering/MsC_Edinburgh/XL002942_Business_Intelligence/Coursework_2/PowerBI/"/>
    </mc:Choice>
  </mc:AlternateContent>
  <xr:revisionPtr revIDLastSave="261" documentId="8_{D22C079E-CF6E-4FD3-9599-C7353A0DF9B8}" xr6:coauthVersionLast="47" xr6:coauthVersionMax="47" xr10:uidLastSave="{ACB33D42-FECF-4745-B71A-F1B73BBC57BD}"/>
  <bookViews>
    <workbookView xWindow="-28920" yWindow="-120" windowWidth="29040" windowHeight="15840" tabRatio="704" activeTab="11" xr2:uid="{08FF1FEF-DA05-48FB-9076-51287B6A627B}"/>
  </bookViews>
  <sheets>
    <sheet name="Project Register" sheetId="1" r:id="rId1"/>
    <sheet name="Budget" sheetId="2" r:id="rId2"/>
    <sheet name="Progress" sheetId="3" r:id="rId3"/>
    <sheet name="Sheet1" sheetId="11" r:id="rId4"/>
    <sheet name="Sheet2" sheetId="12" r:id="rId5"/>
    <sheet name="Actualk Costs" sheetId="5" r:id="rId6"/>
    <sheet name="Contracts" sheetId="8" r:id="rId7"/>
    <sheet name="Business Case" sheetId="7" r:id="rId8"/>
    <sheet name="Suppliers" sheetId="9" r:id="rId9"/>
    <sheet name="Risk Issue Register" sheetId="13" r:id="rId10"/>
    <sheet name="Sheet3" sheetId="15" r:id="rId11"/>
    <sheet name="Critical Action Tracker" sheetId="14" r:id="rId12"/>
  </sheets>
  <definedNames>
    <definedName name="_xlnm._FilterDatabase" localSheetId="1" hidden="1">Budget!$A$1:$F$1</definedName>
    <definedName name="_xlnm._FilterDatabase" localSheetId="6" hidden="1">Contracts!$A$1:$G$82</definedName>
    <definedName name="_xlnm._FilterDatabase" localSheetId="2" hidden="1">Progress!$A$1:$D$1</definedName>
    <definedName name="_xlnm._FilterDatabase" localSheetId="0" hidden="1">'Project Register'!$A$1:$H$80</definedName>
    <definedName name="_xlnm._FilterDatabase" localSheetId="8" hidden="1">Suppliers!$B$1:$C$63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7" l="1"/>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2" i="7"/>
  <c r="J15" i="14"/>
  <c r="J14" i="14"/>
  <c r="J13" i="14"/>
  <c r="J12" i="14"/>
  <c r="J11" i="14"/>
  <c r="J10" i="14"/>
  <c r="J9" i="14"/>
  <c r="J8" i="14"/>
  <c r="J7" i="14"/>
  <c r="J5" i="14"/>
  <c r="J6" i="14"/>
  <c r="J4" i="14"/>
  <c r="A44" i="9" l="1"/>
  <c r="A45" i="9"/>
  <c r="A46" i="9"/>
  <c r="A47" i="9"/>
  <c r="A48" i="9"/>
  <c r="A49" i="9"/>
  <c r="A50" i="9"/>
  <c r="A51" i="9"/>
  <c r="A52" i="9"/>
  <c r="A53" i="9"/>
  <c r="A54" i="9"/>
  <c r="A55" i="9"/>
  <c r="A56" i="9"/>
  <c r="A57" i="9"/>
  <c r="A58" i="9"/>
  <c r="A59" i="9"/>
  <c r="A60" i="9"/>
  <c r="A61" i="9"/>
  <c r="A62" i="9"/>
  <c r="A63"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2" i="9"/>
</calcChain>
</file>

<file path=xl/sharedStrings.xml><?xml version="1.0" encoding="utf-8"?>
<sst xmlns="http://schemas.openxmlformats.org/spreadsheetml/2006/main" count="2204" uniqueCount="783">
  <si>
    <t>Project ID</t>
  </si>
  <si>
    <t>Project Name</t>
  </si>
  <si>
    <t>Central Government Department</t>
  </si>
  <si>
    <t>Responsible Government Body</t>
  </si>
  <si>
    <t>Autonomy</t>
  </si>
  <si>
    <t>Justice</t>
  </si>
  <si>
    <t>Business</t>
  </si>
  <si>
    <t>P004</t>
  </si>
  <si>
    <t>COIN Migration Project</t>
  </si>
  <si>
    <t>Cabinet Office</t>
  </si>
  <si>
    <t>CO - Central</t>
  </si>
  <si>
    <t>National Security</t>
  </si>
  <si>
    <t>Deficit Reduction</t>
  </si>
  <si>
    <t>P006</t>
  </si>
  <si>
    <t xml:space="preserve">Flex Decommissioning </t>
  </si>
  <si>
    <t>Communities and Local Government</t>
  </si>
  <si>
    <t>P010</t>
  </si>
  <si>
    <t>Enhanced Local Government Accrued Reporting (ELGAR) Programme</t>
  </si>
  <si>
    <t>CLG - Central</t>
  </si>
  <si>
    <t>CLG - Ordnance Survey HQ Estates Service</t>
  </si>
  <si>
    <t>P013</t>
  </si>
  <si>
    <t>FiReControl</t>
  </si>
  <si>
    <t>Government Transparency</t>
  </si>
  <si>
    <t>P020</t>
  </si>
  <si>
    <t>Phoenix</t>
  </si>
  <si>
    <t>Not Stated</t>
  </si>
  <si>
    <t>P023</t>
  </si>
  <si>
    <t>Digital Asset Management System</t>
  </si>
  <si>
    <t>Department for Culture, Media and Sport</t>
  </si>
  <si>
    <t>DCMS - Natural History Museum</t>
  </si>
  <si>
    <t>Culture, Olympics, Media and Sport</t>
  </si>
  <si>
    <t>Department for Environment, Food and Rural Affairs</t>
  </si>
  <si>
    <t>DEFRA - Department for Envronment, Food and Rural Affairs</t>
  </si>
  <si>
    <t>Environment, Food and Rural Affairs</t>
  </si>
  <si>
    <t>DEFRA - Environment Agency</t>
  </si>
  <si>
    <t>P039</t>
  </si>
  <si>
    <t>Service Procurement Programme</t>
  </si>
  <si>
    <t>P044</t>
  </si>
  <si>
    <t>Whole Farm Approach(WFA)</t>
  </si>
  <si>
    <t>e-Channels Enhancements</t>
  </si>
  <si>
    <t>Department for International Development</t>
  </si>
  <si>
    <t>DFID -Department for International Development</t>
  </si>
  <si>
    <t>International Development</t>
  </si>
  <si>
    <t>P048</t>
  </si>
  <si>
    <t>AXIS Project 3: System Upgrades</t>
  </si>
  <si>
    <t>P049</t>
  </si>
  <si>
    <t>Palace Street Network Upgrade Project</t>
  </si>
  <si>
    <t>Server Rationalisation</t>
  </si>
  <si>
    <t>Department for Transport</t>
  </si>
  <si>
    <t>DFT - Highways Agency</t>
  </si>
  <si>
    <t>Transport</t>
  </si>
  <si>
    <t>P052</t>
  </si>
  <si>
    <t>Certificate of Professional Competence Release 2 (CPC2)</t>
  </si>
  <si>
    <t>DFT - DFT Central</t>
  </si>
  <si>
    <t>Europe</t>
  </si>
  <si>
    <t>P053</t>
  </si>
  <si>
    <t>Continuous Insurance Enforcement (CIE2) Project</t>
  </si>
  <si>
    <t>Convergence Programme (inclusive of the Mosaic Project)</t>
  </si>
  <si>
    <t>Datacentre Stabilisation Project</t>
  </si>
  <si>
    <t>DFT - Driver Vehicle Licensing Agency</t>
  </si>
  <si>
    <t>Desktop Upgrade Project</t>
  </si>
  <si>
    <t>P059</t>
  </si>
  <si>
    <t>Driver Licence Renewal Web Channel (DLR Web)</t>
  </si>
  <si>
    <t>P060</t>
  </si>
  <si>
    <t>Driver Licensing Online (DLO) Enhancements &amp; Capacity Review Project  2 (DECR 2)</t>
  </si>
  <si>
    <t>Environment Provisioning Service Project</t>
  </si>
  <si>
    <t>EnvIS Development of Automated Data Processing and Ongoing Service Support</t>
  </si>
  <si>
    <t>P064</t>
  </si>
  <si>
    <t>European Union 3rd Directive</t>
  </si>
  <si>
    <t>P066</t>
  </si>
  <si>
    <t>Geotechnical and Drainage Information Management Programme</t>
  </si>
  <si>
    <t>P068</t>
  </si>
  <si>
    <t>Highways Agency Pavement Management System (HAPMS)</t>
  </si>
  <si>
    <t>Highways Agency Traffic Information System (HATRIS)</t>
  </si>
  <si>
    <t>Payment Card Data Security - PCDS</t>
  </si>
  <si>
    <t>P073</t>
  </si>
  <si>
    <t>Rail Passenger Counts Database</t>
  </si>
  <si>
    <t xml:space="preserve">Security Sub-Portfolio </t>
  </si>
  <si>
    <t>P081</t>
  </si>
  <si>
    <t>TI2011+ (Traffic Information 2011+)</t>
  </si>
  <si>
    <t>P082</t>
  </si>
  <si>
    <t>Weblogic 7up Project</t>
  </si>
  <si>
    <t>8 UP Project</t>
  </si>
  <si>
    <t>Traffic Manager Command &amp; Control and Communication Service</t>
  </si>
  <si>
    <t>Department for Work and Pensions</t>
  </si>
  <si>
    <t>DWP - Strategy Information and Pensions Client Group</t>
  </si>
  <si>
    <t>DWP - Jobcentre Plus</t>
  </si>
  <si>
    <t>DWP - Corporate Information Technology</t>
  </si>
  <si>
    <t>Jobs and Welfare</t>
  </si>
  <si>
    <t>DWP - Welfare &amp; Wellbeing Group</t>
  </si>
  <si>
    <t>P094</t>
  </si>
  <si>
    <t>Bank Liaison Automation &amp; Customer Contact Project (BLACC)</t>
  </si>
  <si>
    <t>DWP - Department for Work and Pensions</t>
  </si>
  <si>
    <t>P095</t>
  </si>
  <si>
    <t>Child Maintenance and Enforcement Commission Future Scheme Programme</t>
  </si>
  <si>
    <t>DWP - Child Maintenance Enforcement Commission</t>
  </si>
  <si>
    <t>Families and Children</t>
  </si>
  <si>
    <t>P097</t>
  </si>
  <si>
    <t>Customer Information System - Enhanced Security Infrastructure Controls (ESIC) Project.</t>
  </si>
  <si>
    <t>Consumer Protection</t>
  </si>
  <si>
    <t>DWP - Pension, Disability &amp; Carers Service</t>
  </si>
  <si>
    <t>P100</t>
  </si>
  <si>
    <t>Enabling Retirement Savings Programme (ERSP)</t>
  </si>
  <si>
    <t>Pensions and Older People</t>
  </si>
  <si>
    <t>P105</t>
  </si>
  <si>
    <t>European Social Fund (ESF) IT Systems</t>
  </si>
  <si>
    <t>Fraud Referral and Intervention Management System (FRAIMS) Release 3</t>
  </si>
  <si>
    <t>P108</t>
  </si>
  <si>
    <t>Future Contracting Strategy</t>
  </si>
  <si>
    <t>P109</t>
  </si>
  <si>
    <t>HSE Information Systems and Technology</t>
  </si>
  <si>
    <t>DWP - Health and Safety Executive</t>
  </si>
  <si>
    <t xml:space="preserve">Implementation of recommendations of review of Work Capability Assessment </t>
  </si>
  <si>
    <t>P113</t>
  </si>
  <si>
    <t>Method of Payment Reform Programme Introduction of New Method of Payment (Release 4/5)</t>
  </si>
  <si>
    <t>P114</t>
  </si>
  <si>
    <t>Payment on Account (PoA)</t>
  </si>
  <si>
    <t>P115</t>
  </si>
  <si>
    <t>Pensions Reform Delivery Programme</t>
  </si>
  <si>
    <t>P116</t>
  </si>
  <si>
    <t>Provider Referrals and Payments (PRaP)</t>
  </si>
  <si>
    <t>DWP - Employment Group</t>
  </si>
  <si>
    <t>SDP Error Reduction (Spend to Save)</t>
  </si>
  <si>
    <t>Telephony and Processing Implementation Project (TPIP)</t>
  </si>
  <si>
    <t>Transforming Labour Market Services (TLMS)</t>
  </si>
  <si>
    <t>P125</t>
  </si>
  <si>
    <t>Work Programme</t>
  </si>
  <si>
    <t>P126</t>
  </si>
  <si>
    <t>Childrens Datasets</t>
  </si>
  <si>
    <t>Department of Health</t>
  </si>
  <si>
    <t>DH - Department of Health</t>
  </si>
  <si>
    <t>NHS</t>
  </si>
  <si>
    <t>P127</t>
  </si>
  <si>
    <t>Choose and Book (CAB) 2nd Generation (CAB 2G)</t>
  </si>
  <si>
    <t>P128</t>
  </si>
  <si>
    <t>Choose and Book Extension</t>
  </si>
  <si>
    <t>DH - Department of Health Informatics Directorate</t>
  </si>
  <si>
    <t>P130</t>
  </si>
  <si>
    <t>Community Information Project - Transforming Community Services</t>
  </si>
  <si>
    <t>DH EESSI Programme (Electronic Exchange of Social Security Information)</t>
  </si>
  <si>
    <t>P133</t>
  </si>
  <si>
    <t>Electronic Transmission of Prescriptions (Electronic Prescription Service)</t>
  </si>
  <si>
    <t>P134</t>
  </si>
  <si>
    <t>General Practice Extraction Service (GPES)</t>
  </si>
  <si>
    <t>P137</t>
  </si>
  <si>
    <t>N3</t>
  </si>
  <si>
    <t>P138</t>
  </si>
  <si>
    <t>NHS Analysis and Reporting Service</t>
  </si>
  <si>
    <t>DH - NHS Information Centre</t>
  </si>
  <si>
    <t>NHS Comparators</t>
  </si>
  <si>
    <t>NHS Health Check</t>
  </si>
  <si>
    <t>NHS Jobs tender for new supplier</t>
  </si>
  <si>
    <t>P143</t>
  </si>
  <si>
    <t>NHS Pathways</t>
  </si>
  <si>
    <t>P144</t>
  </si>
  <si>
    <t>NHSmail</t>
  </si>
  <si>
    <t>P145</t>
  </si>
  <si>
    <t>North, Midlands and East Programme for IT (NMEPfIT)</t>
  </si>
  <si>
    <t>P146</t>
  </si>
  <si>
    <t>Patient Safety Direct</t>
  </si>
  <si>
    <t>DH - National Patient Safety Agency</t>
  </si>
  <si>
    <t>P147</t>
  </si>
  <si>
    <t>Picture Archiving and Communication System (PACS)</t>
  </si>
  <si>
    <t>Quality Management and Analysis System (QMAS)</t>
  </si>
  <si>
    <t>Registration</t>
  </si>
  <si>
    <t>P152</t>
  </si>
  <si>
    <t>Secondary Uses Service</t>
  </si>
  <si>
    <t>Southern Programme for IT  - Additional Supply Capability and Capacity  framework contracts</t>
  </si>
  <si>
    <t>Southern Programme for IT (SPfIT)</t>
  </si>
  <si>
    <t>P155</t>
  </si>
  <si>
    <t>Spine</t>
  </si>
  <si>
    <t>P157</t>
  </si>
  <si>
    <t>Summary Care Record Implementation</t>
  </si>
  <si>
    <t>P159</t>
  </si>
  <si>
    <t>Future Firecrest Programme</t>
  </si>
  <si>
    <t>Foreign &amp; Commonwealth Office</t>
  </si>
  <si>
    <t>FCO - Foreign and Commonwealth Office</t>
  </si>
  <si>
    <t>Foreign Affairs</t>
  </si>
  <si>
    <t>P160</t>
  </si>
  <si>
    <t>Overseas Standard Intelligence Terminal (OSIT) Phase 2</t>
  </si>
  <si>
    <t>P161</t>
  </si>
  <si>
    <t>Repatriation Project (BRIT2 Workstream)</t>
  </si>
  <si>
    <t>Immigration</t>
  </si>
  <si>
    <t>SAP Managed Service</t>
  </si>
  <si>
    <t>Strategic IT Partnership</t>
  </si>
  <si>
    <t>HM Revenue and Customs</t>
  </si>
  <si>
    <t>HMRC - HM Revenue and Customs</t>
  </si>
  <si>
    <t>P167</t>
  </si>
  <si>
    <t>Boundary Controls within ex-CE Estate and ex-IR Contact Centres</t>
  </si>
  <si>
    <t>P168</t>
  </si>
  <si>
    <t>Business.gov Programme</t>
  </si>
  <si>
    <t>Electronic Data &amp; Record Management (EDRM)</t>
  </si>
  <si>
    <t>Geographical Information System (GIS)</t>
  </si>
  <si>
    <t>P174</t>
  </si>
  <si>
    <t>High Privilege Access Management</t>
  </si>
  <si>
    <t/>
  </si>
  <si>
    <t>Housing Allowance - Get Fit (HAGF)</t>
  </si>
  <si>
    <t>Import Control System (ICS) - Customs Service Transformation Programme (CSTP)</t>
  </si>
  <si>
    <t>Integrated Tariff Environment (ITE) - Customs Service Transformation Programme (CSTP)</t>
  </si>
  <si>
    <t>Home Office</t>
  </si>
  <si>
    <t>HOPG - UK Border Agency</t>
  </si>
  <si>
    <t>AUTOMATION AT HEATHROW- ePassport gates</t>
  </si>
  <si>
    <t>P184</t>
  </si>
  <si>
    <t>Biometric Residence Permits</t>
  </si>
  <si>
    <t>P188</t>
  </si>
  <si>
    <t>CRASH</t>
  </si>
  <si>
    <t>HO - National Policing Improvement Agency</t>
  </si>
  <si>
    <t>Crime and Policing</t>
  </si>
  <si>
    <t>P190</t>
  </si>
  <si>
    <t>EDRM Futures</t>
  </si>
  <si>
    <t>HOPG - Core Home Office</t>
  </si>
  <si>
    <t>P191</t>
  </si>
  <si>
    <t>Hillsborough Disaster Disclosure Programme</t>
  </si>
  <si>
    <t>Civil Liberties</t>
  </si>
  <si>
    <t>P192</t>
  </si>
  <si>
    <t>HOSS V2 Finance</t>
  </si>
  <si>
    <t>HOPG - Criminal Records Bureau</t>
  </si>
  <si>
    <t>P194</t>
  </si>
  <si>
    <t>Immigration Case Work Programme</t>
  </si>
  <si>
    <t>P195</t>
  </si>
  <si>
    <t>IMPACT Programme</t>
  </si>
  <si>
    <t>P198</t>
  </si>
  <si>
    <t>ISIS National email</t>
  </si>
  <si>
    <t>P199</t>
  </si>
  <si>
    <t>IT2000 (Fujitsu) and IPIDS (Atos Origin)</t>
  </si>
  <si>
    <t>Mobile Information Programme</t>
  </si>
  <si>
    <t>P202</t>
  </si>
  <si>
    <t>MobileID Project</t>
  </si>
  <si>
    <t>National Identity Assurance Service (NIAS)</t>
  </si>
  <si>
    <t>Next Generation Handheld Biometric Units</t>
  </si>
  <si>
    <t>P208</t>
  </si>
  <si>
    <t>Not stated</t>
  </si>
  <si>
    <t>HOPG - Office for Security and Counter Terrorism</t>
  </si>
  <si>
    <t>P209</t>
  </si>
  <si>
    <t>PentiP</t>
  </si>
  <si>
    <t>P210</t>
  </si>
  <si>
    <t>PLX 3 Project</t>
  </si>
  <si>
    <t>P211</t>
  </si>
  <si>
    <t>Programme Cyclamen - Fixed Radiation Detection Systems and Radionuclide Identification Devices</t>
  </si>
  <si>
    <t>Rostering and Annualised Hours Working Project</t>
  </si>
  <si>
    <t>P213</t>
  </si>
  <si>
    <t>Schengen Information System Programme (SIS ll)</t>
  </si>
  <si>
    <t>SPPU Convergence Programme</t>
  </si>
  <si>
    <t>The 2010 Programme</t>
  </si>
  <si>
    <t>AIS Branch Functional Application Testing Resource</t>
  </si>
  <si>
    <t>Ministry of Defence</t>
  </si>
  <si>
    <t>MOD- Ministry of Defence</t>
  </si>
  <si>
    <t>Defence</t>
  </si>
  <si>
    <t>P221</t>
  </si>
  <si>
    <t>CRIMES Application Support &amp; Maintenance Contract</t>
  </si>
  <si>
    <t>P223</t>
  </si>
  <si>
    <t>General Purpose Compute System Replacement</t>
  </si>
  <si>
    <t>MOD- Meteorological Office</t>
  </si>
  <si>
    <t>JPA MANAGEMENT INFORMATION IMPROVEMENT PROJECT</t>
  </si>
  <si>
    <t>Land Force Data Warehouse</t>
  </si>
  <si>
    <t>Oracle EA</t>
  </si>
  <si>
    <t>Reporting, Archiving &amp; Feeder Technology (RAFT) WP 150</t>
  </si>
  <si>
    <t>DE&amp;S Project Management Support</t>
  </si>
  <si>
    <t>P231</t>
  </si>
  <si>
    <t>Civil Business Modernisation Programme</t>
  </si>
  <si>
    <t>Ministry of Justice</t>
  </si>
  <si>
    <t>MOJ - HMCS</t>
  </si>
  <si>
    <t>MOJ - Ministry of Justice HQ</t>
  </si>
  <si>
    <t>P233</t>
  </si>
  <si>
    <t>Integrated Delivery Programme (Delivery Transformation &amp; Integrated Financial)</t>
  </si>
  <si>
    <t>MOJ - Legal Services Commission</t>
  </si>
  <si>
    <t>P234</t>
  </si>
  <si>
    <t>MoJ Estates Transformation Programme</t>
  </si>
  <si>
    <t>P235</t>
  </si>
  <si>
    <t>National Offender Management Information Systems (NOMIS) Programme</t>
  </si>
  <si>
    <t>MOJ - NOMS</t>
  </si>
  <si>
    <t>P236</t>
  </si>
  <si>
    <t>Offender management National Infrastructure - Transformation (OMNI-T Programme)</t>
  </si>
  <si>
    <t>P237</t>
  </si>
  <si>
    <t>Omni Blackberry Project (PB 673)</t>
  </si>
  <si>
    <t>P253 - ATP - CustomerProject</t>
  </si>
  <si>
    <t>Project Mercury</t>
  </si>
  <si>
    <t>P243</t>
  </si>
  <si>
    <t>Transfer of AGFS</t>
  </si>
  <si>
    <t>Office for National Statistics</t>
  </si>
  <si>
    <t>ONS - Office for National Statistics</t>
  </si>
  <si>
    <t>P247</t>
  </si>
  <si>
    <t>Web Development Programme</t>
  </si>
  <si>
    <t>ICT Infrastructure Project</t>
  </si>
  <si>
    <t>Total Project Budget Approved £'000s</t>
  </si>
  <si>
    <t>Funding for 2010/11 £'000s</t>
  </si>
  <si>
    <t>Start Date</t>
  </si>
  <si>
    <t>Not Applicable</t>
  </si>
  <si>
    <t>Gateway 5 Operations review and benefits realisations</t>
  </si>
  <si>
    <t>Gateway 4 Readiness for service</t>
  </si>
  <si>
    <t>Gateway 3 Investment Decisions</t>
  </si>
  <si>
    <t>Gateway 2 Delivery Strategy</t>
  </si>
  <si>
    <t>Gateway 1 Business Justification</t>
  </si>
  <si>
    <t xml:space="preserve">Gateway 0 Strategic Assessment </t>
  </si>
  <si>
    <t>Last Budget Review</t>
  </si>
  <si>
    <t>Been subject to OGC Gateway?</t>
  </si>
  <si>
    <t>OGC review stage</t>
  </si>
  <si>
    <t>Budget Allocated Until 2010/11  £'000s</t>
  </si>
  <si>
    <t>TBC</t>
  </si>
  <si>
    <t>Economic Benefits £'000</t>
  </si>
  <si>
    <t>Financial Savings - Total (£'000)</t>
  </si>
  <si>
    <t>Other Benefits (£'000)</t>
  </si>
  <si>
    <t>Predicted Costs £'000</t>
  </si>
  <si>
    <t>Contract ID</t>
  </si>
  <si>
    <t>C006</t>
  </si>
  <si>
    <t>C013</t>
  </si>
  <si>
    <t>C020</t>
  </si>
  <si>
    <t>C023</t>
  </si>
  <si>
    <t>C039</t>
  </si>
  <si>
    <t>C044</t>
  </si>
  <si>
    <t>C048</t>
  </si>
  <si>
    <t>C049</t>
  </si>
  <si>
    <t>C052</t>
  </si>
  <si>
    <t>C053</t>
  </si>
  <si>
    <t>C059</t>
  </si>
  <si>
    <t>C060</t>
  </si>
  <si>
    <t>C064</t>
  </si>
  <si>
    <t>C066</t>
  </si>
  <si>
    <t>C068</t>
  </si>
  <si>
    <t>C073</t>
  </si>
  <si>
    <t>C082</t>
  </si>
  <si>
    <t>C094a</t>
  </si>
  <si>
    <t>C094b</t>
  </si>
  <si>
    <t>C094c</t>
  </si>
  <si>
    <t>C094d</t>
  </si>
  <si>
    <t>C095a</t>
  </si>
  <si>
    <t>C095b</t>
  </si>
  <si>
    <t>C095c</t>
  </si>
  <si>
    <t>C095d</t>
  </si>
  <si>
    <t>C095e</t>
  </si>
  <si>
    <t>C095f</t>
  </si>
  <si>
    <t>C095g</t>
  </si>
  <si>
    <t>C095h</t>
  </si>
  <si>
    <t>C095i</t>
  </si>
  <si>
    <t>C095j</t>
  </si>
  <si>
    <t>C097b</t>
  </si>
  <si>
    <t>C097c</t>
  </si>
  <si>
    <t>C100b</t>
  </si>
  <si>
    <t>C100c</t>
  </si>
  <si>
    <t>C105</t>
  </si>
  <si>
    <t>C108b</t>
  </si>
  <si>
    <t>C108c</t>
  </si>
  <si>
    <t>C108d</t>
  </si>
  <si>
    <t>C115b</t>
  </si>
  <si>
    <t>C115c</t>
  </si>
  <si>
    <t>C115d</t>
  </si>
  <si>
    <t>C115e</t>
  </si>
  <si>
    <t>C116b</t>
  </si>
  <si>
    <t>C116c</t>
  </si>
  <si>
    <t>C126</t>
  </si>
  <si>
    <t>C127</t>
  </si>
  <si>
    <t>C128</t>
  </si>
  <si>
    <t>C130</t>
  </si>
  <si>
    <t>C133</t>
  </si>
  <si>
    <t>C137</t>
  </si>
  <si>
    <t>C138</t>
  </si>
  <si>
    <t>C144</t>
  </si>
  <si>
    <t>C145</t>
  </si>
  <si>
    <t>C152</t>
  </si>
  <si>
    <t>C155</t>
  </si>
  <si>
    <t>C157</t>
  </si>
  <si>
    <t>C159</t>
  </si>
  <si>
    <t>C160</t>
  </si>
  <si>
    <t>C161</t>
  </si>
  <si>
    <t>C168</t>
  </si>
  <si>
    <t>C184</t>
  </si>
  <si>
    <t>C188</t>
  </si>
  <si>
    <t>C190</t>
  </si>
  <si>
    <t>C194</t>
  </si>
  <si>
    <t>C195</t>
  </si>
  <si>
    <t>C199a</t>
  </si>
  <si>
    <t>C199b</t>
  </si>
  <si>
    <t>C202</t>
  </si>
  <si>
    <t>C209</t>
  </si>
  <si>
    <t>C210</t>
  </si>
  <si>
    <t>C211</t>
  </si>
  <si>
    <t>C221</t>
  </si>
  <si>
    <t>C223</t>
  </si>
  <si>
    <t>C231</t>
  </si>
  <si>
    <t>C233</t>
  </si>
  <si>
    <t>C234</t>
  </si>
  <si>
    <t>C235</t>
  </si>
  <si>
    <t>C236</t>
  </si>
  <si>
    <t>C237</t>
  </si>
  <si>
    <t>C243</t>
  </si>
  <si>
    <t>Contract Start Date</t>
  </si>
  <si>
    <t xml:space="preserve">Contract Expiry </t>
  </si>
  <si>
    <t>Dept of Work and Pensions</t>
  </si>
  <si>
    <t>FWBS</t>
  </si>
  <si>
    <t>SIS/SOC</t>
  </si>
  <si>
    <t>Fujitsu</t>
  </si>
  <si>
    <t>BT</t>
  </si>
  <si>
    <t>EADS Defence &amp; Security Ltd.</t>
  </si>
  <si>
    <t>Computacenter</t>
  </si>
  <si>
    <t>Steria</t>
  </si>
  <si>
    <t>Confirm on ITT response evaluation</t>
  </si>
  <si>
    <t>Synectics Solutions Ltd</t>
  </si>
  <si>
    <t>Ordnance Survey</t>
  </si>
  <si>
    <t>EMC</t>
  </si>
  <si>
    <t>Intergraph Ltd.</t>
  </si>
  <si>
    <t>Cable &amp; Wireless</t>
  </si>
  <si>
    <t>Cap Gemini Ltd</t>
  </si>
  <si>
    <t>IBM</t>
  </si>
  <si>
    <t>Scysis</t>
  </si>
  <si>
    <t>In house</t>
  </si>
  <si>
    <t>Caisse Des Depots</t>
  </si>
  <si>
    <t>Atos Origin</t>
  </si>
  <si>
    <t>Scisys</t>
  </si>
  <si>
    <t>Accenture</t>
  </si>
  <si>
    <t>Capgemini</t>
  </si>
  <si>
    <t>Software AG</t>
  </si>
  <si>
    <t>Unit 4 Agresso Business World</t>
  </si>
  <si>
    <t>Capita</t>
  </si>
  <si>
    <t>Aspen Solutions Ltd</t>
  </si>
  <si>
    <t>CCL</t>
  </si>
  <si>
    <t>AMTEC (SystemsUp Ltd)</t>
  </si>
  <si>
    <t>CACI</t>
  </si>
  <si>
    <t>Mott MacDonald Ltd</t>
  </si>
  <si>
    <t>void1v</t>
  </si>
  <si>
    <t>Scott Wilson</t>
  </si>
  <si>
    <t>Computacenter (UK) Ltd</t>
  </si>
  <si>
    <t>HP</t>
  </si>
  <si>
    <t>Other</t>
  </si>
  <si>
    <t>Experian</t>
  </si>
  <si>
    <t>Deloitte</t>
  </si>
  <si>
    <t>DWP/HPES/Accenture</t>
  </si>
  <si>
    <t>HMRC</t>
  </si>
  <si>
    <t>Tata Consultancy Services</t>
  </si>
  <si>
    <t>Northgate</t>
  </si>
  <si>
    <t>ORACLE</t>
  </si>
  <si>
    <t>NHS CFH Systems and Service Delivery (SSD)</t>
  </si>
  <si>
    <t>LA social Care IT systems suppliers</t>
  </si>
  <si>
    <t>I-MC</t>
  </si>
  <si>
    <t>BT N3SP</t>
  </si>
  <si>
    <t>CSC</t>
  </si>
  <si>
    <t>Logica</t>
  </si>
  <si>
    <t>FCO</t>
  </si>
  <si>
    <t>3M</t>
  </si>
  <si>
    <t>Studer</t>
  </si>
  <si>
    <t>Serco</t>
  </si>
  <si>
    <t>Verizon</t>
  </si>
  <si>
    <t>Information Processing Limited</t>
  </si>
  <si>
    <t>Siemens IS</t>
  </si>
  <si>
    <t>Kronos</t>
  </si>
  <si>
    <t>SAS</t>
  </si>
  <si>
    <t>Various COTS suppliers</t>
  </si>
  <si>
    <t>Impact Marcom</t>
  </si>
  <si>
    <t>SCC</t>
  </si>
  <si>
    <t>Business Applications (i.e. Operational applications)</t>
  </si>
  <si>
    <t xml:space="preserve">Online Services </t>
  </si>
  <si>
    <t>Workstation / User devices</t>
  </si>
  <si>
    <t>Project management &amp; integration</t>
  </si>
  <si>
    <t>Networks</t>
  </si>
  <si>
    <t>Online Services, CRM, Business Applications</t>
  </si>
  <si>
    <t>GI Systems</t>
  </si>
  <si>
    <t>Telecommunications</t>
  </si>
  <si>
    <t>Infrastructure and Applications management, support and upgrade</t>
  </si>
  <si>
    <t>Online Services</t>
  </si>
  <si>
    <t>COTS Corporate Applications (HR, Finance etc.)</t>
  </si>
  <si>
    <t>Professional Services</t>
  </si>
  <si>
    <t>System Management</t>
  </si>
  <si>
    <t>System/Sub-system Maintenance</t>
  </si>
  <si>
    <t>Credit Reference Agency</t>
  </si>
  <si>
    <t>Client-side Support Services</t>
  </si>
  <si>
    <t>Data Interfaces</t>
  </si>
  <si>
    <t>Data Interface Development</t>
  </si>
  <si>
    <t>System Integration</t>
  </si>
  <si>
    <t>Data Centres</t>
  </si>
  <si>
    <t>LA Social Care IT systems suppliers</t>
  </si>
  <si>
    <t>Vendor of Clix, e-LfH's Learning Management System</t>
  </si>
  <si>
    <t>Secure buildings/technical and protective Security/IT and communications/Training</t>
  </si>
  <si>
    <t>Digital Mixing Consoles - Sound Desks</t>
  </si>
  <si>
    <t>Systems Integrator</t>
  </si>
  <si>
    <t>Prime ICT Supplier Name</t>
  </si>
  <si>
    <t>Prime ICT Supplier Capability Type</t>
  </si>
  <si>
    <t>Operating System Platform (Windows, Linux etc.)</t>
  </si>
  <si>
    <t>On Line Services, System Refresh and Business Applications</t>
  </si>
  <si>
    <t>Testing Services</t>
  </si>
  <si>
    <t>Application Development</t>
  </si>
  <si>
    <t xml:space="preserve">Infrastructure design and procurement </t>
  </si>
  <si>
    <t>Data Centres, Telecommunications, Service Management, Service Delivery</t>
  </si>
  <si>
    <t xml:space="preserve">Strategic partner </t>
  </si>
  <si>
    <t>Radiation detection systems and image identification technology</t>
  </si>
  <si>
    <t>S0001</t>
  </si>
  <si>
    <t>Supplier ID</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</si>
  <si>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</si>
  <si>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</si>
  <si>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</si>
  <si>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</si>
  <si>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</si>
  <si>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</si>
  <si>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</si>
  <si>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</si>
  <si>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</si>
  <si>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</si>
  <si>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</si>
  <si>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</si>
  <si>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</si>
  <si>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</si>
  <si>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</si>
  <si>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</si>
  <si>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</si>
  <si>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</si>
  <si>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</si>
  <si>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</si>
  <si>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</si>
  <si>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</si>
  <si>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</si>
  <si>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</si>
  <si>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</si>
  <si>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</si>
  <si>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</si>
  <si>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</si>
  <si>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</si>
  <si>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</si>
  <si>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</si>
  <si>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</si>
  <si>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</si>
  <si>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</si>
  <si>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</si>
  <si>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</si>
  <si>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</si>
  <si>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</si>
  <si>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</si>
  <si>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</si>
  <si>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</si>
  <si>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</si>
  <si>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</si>
  <si>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</si>
  <si>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</si>
  <si>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</si>
  <si>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</si>
  <si>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</si>
  <si>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</si>
  <si>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</si>
  <si>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</si>
  <si>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</si>
  <si>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</si>
  <si>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</si>
  <si>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</si>
  <si>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S0058</t>
  </si>
  <si>
    <t>S0059</t>
  </si>
  <si>
    <t>S0060</t>
  </si>
  <si>
    <t>S0061</t>
  </si>
  <si>
    <t>S0062</t>
  </si>
  <si>
    <t>S0063</t>
  </si>
  <si>
    <t>Contract Requirements</t>
  </si>
  <si>
    <t>Estimated Contract Value (£'000)</t>
  </si>
  <si>
    <t>Actual Spend to 2010 (£'000s)</t>
  </si>
  <si>
    <t>Forecast Spend 2010-11 (£'000s)</t>
  </si>
  <si>
    <t>Forecast Spend 2011-12 (£'000s)</t>
  </si>
  <si>
    <t>Forecast Spend 2012-13 &amp; Beyond (£'000s)</t>
  </si>
  <si>
    <t>Post Code</t>
  </si>
  <si>
    <t>EX5 1FZ</t>
  </si>
  <si>
    <t>NR4 6ES</t>
  </si>
  <si>
    <t>ML11 0JX</t>
  </si>
  <si>
    <t>RG12 7HG</t>
  </si>
  <si>
    <t>SY3 0HA</t>
  </si>
  <si>
    <t>LE8 0JS</t>
  </si>
  <si>
    <t>KT12 2NE</t>
  </si>
  <si>
    <t>TR2 5LN</t>
  </si>
  <si>
    <t>BH19 1PW</t>
  </si>
  <si>
    <t>HP20 2PL</t>
  </si>
  <si>
    <t>HA3 0PW</t>
  </si>
  <si>
    <t>ME13 7GS</t>
  </si>
  <si>
    <t>HP5 2LT</t>
  </si>
  <si>
    <t>IP33 3AU</t>
  </si>
  <si>
    <t>KT1 3HR</t>
  </si>
  <si>
    <t>CA5 7AW</t>
  </si>
  <si>
    <t>CF14 3HP</t>
  </si>
  <si>
    <t>RG31 6FX</t>
  </si>
  <si>
    <t>G52 1DE</t>
  </si>
  <si>
    <t>RH16 3SX</t>
  </si>
  <si>
    <t>PR4 2BY</t>
  </si>
  <si>
    <t>SW20 0PU</t>
  </si>
  <si>
    <t>IP13 0RL</t>
  </si>
  <si>
    <t>WN2 3XB</t>
  </si>
  <si>
    <t>RM5 3YT</t>
  </si>
  <si>
    <t>PL9 7LN</t>
  </si>
  <si>
    <t>TA2 6HJ</t>
  </si>
  <si>
    <t>DN39 6UA</t>
  </si>
  <si>
    <t>CT12 5JZ</t>
  </si>
  <si>
    <t>RM11 1AA</t>
  </si>
  <si>
    <t>MK18 1EA</t>
  </si>
  <si>
    <t>SY4 5JZ</t>
  </si>
  <si>
    <t>SK2 5UD</t>
  </si>
  <si>
    <t>NW7 4SE</t>
  </si>
  <si>
    <t>W3 9HW</t>
  </si>
  <si>
    <t>SE25 9EX</t>
  </si>
  <si>
    <t>SE9 6LA</t>
  </si>
  <si>
    <t>N9 7EF</t>
  </si>
  <si>
    <t>NW3 2HY</t>
  </si>
  <si>
    <t>N14 9FZ</t>
  </si>
  <si>
    <t>SW17 7EL</t>
  </si>
  <si>
    <t>N11 2HA</t>
  </si>
  <si>
    <t>NW10 2QU</t>
  </si>
  <si>
    <t>N9 9EA</t>
  </si>
  <si>
    <t>SE23 1AD</t>
  </si>
  <si>
    <t>E8 3JW</t>
  </si>
  <si>
    <t>SW2 2NN</t>
  </si>
  <si>
    <t>N19 4EU</t>
  </si>
  <si>
    <t>SW10 0NS</t>
  </si>
  <si>
    <t>SE18 1ED</t>
  </si>
  <si>
    <t>SE26 6EE</t>
  </si>
  <si>
    <t>N18 2PR</t>
  </si>
  <si>
    <t>Status at Last Review</t>
  </si>
  <si>
    <t>Amber</t>
  </si>
  <si>
    <t>Red</t>
  </si>
  <si>
    <t>Green</t>
  </si>
  <si>
    <t>Project Manager</t>
  </si>
  <si>
    <t>Marco Jacobs</t>
  </si>
  <si>
    <t>Anderson Lang</t>
  </si>
  <si>
    <t>Bella Carlson</t>
  </si>
  <si>
    <t>Cailyn Gregory</t>
  </si>
  <si>
    <t>Warren Landry</t>
  </si>
  <si>
    <t>Lilly Jacobson</t>
  </si>
  <si>
    <t>Joaquin Reilly</t>
  </si>
  <si>
    <t>Nelson French</t>
  </si>
  <si>
    <t>Ryan Olson</t>
  </si>
  <si>
    <t>Morgan Crawford</t>
  </si>
  <si>
    <t>Irvin Perkins</t>
  </si>
  <si>
    <t>Emily Christensen</t>
  </si>
  <si>
    <t>Luca Wells</t>
  </si>
  <si>
    <t>Keyon Nunez</t>
  </si>
  <si>
    <t>Cecelia Downs</t>
  </si>
  <si>
    <t>Jacqueline Banks</t>
  </si>
  <si>
    <t>Clarissa Stanley</t>
  </si>
  <si>
    <t>Augustus Cole</t>
  </si>
  <si>
    <t>Kyan Green</t>
  </si>
  <si>
    <t>Dalton Holmes</t>
  </si>
  <si>
    <t>Alonso Park</t>
  </si>
  <si>
    <t>Richard Murillo</t>
  </si>
  <si>
    <t>Madalyn Murphy</t>
  </si>
  <si>
    <t>Cooper Hamilton</t>
  </si>
  <si>
    <t>Kai Mejia</t>
  </si>
  <si>
    <t>Makai Warner</t>
  </si>
  <si>
    <t>Celeste Levy</t>
  </si>
  <si>
    <t>Ellis Bridges</t>
  </si>
  <si>
    <t>Conrad Grimes</t>
  </si>
  <si>
    <t>Aniyah Owen</t>
  </si>
  <si>
    <t>Jalen Campbell</t>
  </si>
  <si>
    <t>Nathanial Forbes</t>
  </si>
  <si>
    <t>Lindsey Deleon</t>
  </si>
  <si>
    <t>Brenna Ballard</t>
  </si>
  <si>
    <t>Brenna Hopkins</t>
  </si>
  <si>
    <t>Esteban Davis</t>
  </si>
  <si>
    <t>Rowan Huber</t>
  </si>
  <si>
    <t>Cole Wells</t>
  </si>
  <si>
    <t>Sherlyn Figueroa</t>
  </si>
  <si>
    <t>Ruth Jennings</t>
  </si>
  <si>
    <t>Yuliana Liu</t>
  </si>
  <si>
    <t>Programme</t>
  </si>
  <si>
    <r>
      <t xml:space="preserve">Client Side Consultancy Costs </t>
    </r>
    <r>
      <rPr>
        <b/>
        <u/>
        <sz val="11"/>
        <color rgb="FF000000"/>
        <rFont val="Calibri"/>
        <family val="2"/>
      </rPr>
      <t>(£'s)!!</t>
    </r>
  </si>
  <si>
    <t>Proj ID</t>
  </si>
  <si>
    <t>Likelihood of the risk occurring</t>
  </si>
  <si>
    <t>Impact if the risk occurs</t>
  </si>
  <si>
    <t>Severity
Rating based on impact &amp; likelihood.</t>
  </si>
  <si>
    <t xml:space="preserve">Owner
Person who will manage the risk. </t>
  </si>
  <si>
    <t>Mitigating action
Actions to mitigate the risk e.g. reduce the likelihood.</t>
  </si>
  <si>
    <t>Progress on actions</t>
  </si>
  <si>
    <t>Status</t>
  </si>
  <si>
    <t>Project purpose and need is not well-defined.</t>
  </si>
  <si>
    <t>Medium</t>
  </si>
  <si>
    <t>High</t>
  </si>
  <si>
    <t>Project Sponsor</t>
  </si>
  <si>
    <t xml:space="preserve">Complete a business case if not already provided and ensure purpose is well defined on Project Charter and PID. </t>
  </si>
  <si>
    <t xml:space="preserve">Escalate to the Project Board with an assessment of the risk of runaway costs/never-ending project. </t>
  </si>
  <si>
    <t xml:space="preserve">Business case re-written with clear deliverables and submitted to the project board for approval. </t>
  </si>
  <si>
    <t>Closed</t>
  </si>
  <si>
    <t>Project design and deliverable definition is incomplete.</t>
  </si>
  <si>
    <t>Low</t>
  </si>
  <si>
    <t xml:space="preserve">Define the scope in detail via design workshops with input from subject matter experts. </t>
  </si>
  <si>
    <t xml:space="preserve">Document assumptions made and associated risks. Request high risk items that are ill-defined are removed from scope. </t>
  </si>
  <si>
    <t>Design workshops scheduled.</t>
  </si>
  <si>
    <t>Open</t>
  </si>
  <si>
    <t>Consultant or contractor delays</t>
  </si>
  <si>
    <t>Include late penalties in contracts.
Build in and protect lead time in the schedule. 
Communicate schedule early.
Check in with suppliers regularly. Query '90% done'. Ask again and again if they need anything else.</t>
  </si>
  <si>
    <t xml:space="preserve">Escalate to Project Sponsor and Contracts Manager. Implement late clauses. </t>
  </si>
  <si>
    <t xml:space="preserve">Lead time from each contractor built into the project schedule. Late penalties agreed to and contracts signed. </t>
  </si>
  <si>
    <t xml:space="preserve">Escalate to project sponsor and project board. 
Raise change request for change to budget or schedule. 
Pull down contingency. </t>
  </si>
  <si>
    <t>Contingency agreed by Project Board.</t>
  </si>
  <si>
    <t>Scope creep</t>
  </si>
  <si>
    <t xml:space="preserve">Document the project scope in a Project Initiation Document or Project Charter and get it authorised by the Project Board. Refer to it throughout the project and assess all changes against it also ensuring alignment of any changes with the Business Case. </t>
  </si>
  <si>
    <t xml:space="preserve">Document each and every example of scope creep NO MATTER HOW SMALL in a change order and get authorisation from the project board BEFORE STARTING WORK. This includes ZERO COST changes. </t>
  </si>
  <si>
    <t xml:space="preserve">Scope clearly defined in PID. </t>
  </si>
  <si>
    <t xml:space="preserve">Business Case becomes obsolete or is undermined by external or internal changes. </t>
  </si>
  <si>
    <t>No ability to reduce likelihood, but make sure early warning is given by reviewing business case on regular basis with the Project Board.</t>
  </si>
  <si>
    <t xml:space="preserve">Initiate escalation and project close down procedure. </t>
  </si>
  <si>
    <t xml:space="preserve">Project  close down procedure confirmed with Project Board. </t>
  </si>
  <si>
    <t xml:space="preserve">Delay in earlier project phases jeopardizes ability to meet fixed date. For example delivery of just in time materials, for conference or launch date. </t>
  </si>
  <si>
    <t xml:space="preserve">Ensure the project plan is as accurate as possible using scheduling workshops and work breakdown structure. Use Tracking Gantt and Baseline to identify schedule slippage early. </t>
  </si>
  <si>
    <t xml:space="preserve">Consider insurance to cover costs and alternative supplier as a back up. </t>
  </si>
  <si>
    <t xml:space="preserve">Awaiting completion of the schedule. </t>
  </si>
  <si>
    <t xml:space="preserve">Inadequate customer testing leads to large post go live snag list. </t>
  </si>
  <si>
    <t xml:space="preserve">Ensure customer prepares test cases/quality checks and protect  testing/quality assurance window. </t>
  </si>
  <si>
    <t xml:space="preserve">Raise risk immediately and raise issue if it is clear testing inadequate. Customer could extend testing &amp; bring in additional resource. </t>
  </si>
  <si>
    <t xml:space="preserve">Customer preparing test cases. </t>
  </si>
  <si>
    <t xml:space="preserve">Follow security procedures, ensure Non-Disclosure Agreements (NDAs), &amp; compliance certificates are in place. Verify all physical security measures in place. Secure insurance. </t>
  </si>
  <si>
    <t xml:space="preserve">Notify appropriate authorities e.g. police, project board and initiate internal investigations. </t>
  </si>
  <si>
    <t xml:space="preserve">NDAs issued. Security certificates confirmed for contractors. </t>
  </si>
  <si>
    <t xml:space="preserve">Acts of God for example, extreme weather, leads to loss of resources, materials, premises etc. </t>
  </si>
  <si>
    <t xml:space="preserve">Ensure insurance in place. Familiarise project team with emergency procedures. Where cost effective put back up systems in place e.g. generators. </t>
  </si>
  <si>
    <t xml:space="preserve">Notify appropriate authorities. Follow health and safety procedures. Notify stakeholders and Project  Board. </t>
  </si>
  <si>
    <t xml:space="preserve">Public Liability Insurance confirmed along with additional premises insurance at site B. </t>
  </si>
  <si>
    <t xml:space="preserve">Stakeholder action delays project. </t>
  </si>
  <si>
    <t xml:space="preserve">Identify stakeholders, analyse power and influence and create a stakeholder engagement plan. Project Board to authorise the plan. Revisit the plan at regular intervals to check all stakeholders are managed. Consider getting insurance. </t>
  </si>
  <si>
    <t xml:space="preserve">Notify appropriate authorities and follow internal procedures e.g. for activist demonstrations. </t>
  </si>
  <si>
    <t xml:space="preserve">Stakeholder Analysis in progress. </t>
  </si>
  <si>
    <t>Project schedule is not clearly defined or understood</t>
  </si>
  <si>
    <t xml:space="preserve">Hold scheduling workshops with the project team so they understand the plan and likelihood of missed tasks is reduced. </t>
  </si>
  <si>
    <t xml:space="preserve">Share the plan and go through upcoming tasks at each weekly project progress meeting. </t>
  </si>
  <si>
    <t>Workshops scheduled.</t>
  </si>
  <si>
    <t>No control over staff priorities</t>
  </si>
  <si>
    <t xml:space="preserve">The Project Sponsor will brief team managers on the importance of the project. Soft book resources as early as possible and then communicate final booking dates asap after the scheduling workshops. Identify back ups for each human resource on the  project. </t>
  </si>
  <si>
    <t xml:space="preserve">Escalate to the Project Sponsor and bring in back up resource. </t>
  </si>
  <si>
    <t xml:space="preserve">Project Sponsor has agreed to hold briefing. Now making arrangements for a meeting room. </t>
  </si>
  <si>
    <t>Unplanned work that must be accommodated</t>
  </si>
  <si>
    <t>Team Manager</t>
  </si>
  <si>
    <t xml:space="preserve">Attend project scheduling workshops. 
Check previous  projects, for actual work and costs. 
Check all plans and quantity surveys. 
Document all assumptions made in planning and communicate to the project manager before project kick off. </t>
  </si>
  <si>
    <t xml:space="preserve">Escalate to the Project Manager with plan of action, including impact on time, cost and quality. </t>
  </si>
  <si>
    <t xml:space="preserve">Team managers attending scheduling workshops. </t>
  </si>
  <si>
    <t xml:space="preserve">Lack of communication, causing lack of clarity and confusion. </t>
  </si>
  <si>
    <t xml:space="preserve">Write a communication plan which includes frequency, goal, and audience of each communication. 
Identify stakeholders early and  make sure they are considered I the communication plan. Use most appropriate channel of communication for audience e.g. don't send 3 paragraph email to Developers, have a call instead. </t>
  </si>
  <si>
    <t xml:space="preserve">Correct misunderstandings immediately. Clarify areas that are not clear swiftly using assistance from Project Sponsor if needed. </t>
  </si>
  <si>
    <t xml:space="preserve">Communication plan in progress. </t>
  </si>
  <si>
    <t>Pressure to arbitrarily reduce task durations and or run tasks in parallel which would increase risk of errors.</t>
  </si>
  <si>
    <t xml:space="preserve">Share the schedule with key stakeholders to reduce the risk of this happening. 
Patiently explain that schedule was built using the expertise of subject matter experts. Explain the risks of the changes. Share the Dennis Lock quote at https://www.stakeholdermap.com/plan-project/plan-reduction-crashing.html. </t>
  </si>
  <si>
    <t xml:space="preserve">Escalate to Project Board with assessment of risk and impact of the change.
Hold emergency risk  management call with decision makers &amp; source of pressure and lay out risk and impact. </t>
  </si>
  <si>
    <t>Unresolved project conflicts not escalated in a timely manner</t>
  </si>
  <si>
    <t xml:space="preserve">Hold regular project team meetings and look out for conflicts. Review the project plan and stakeholder engagement plan for potential areas of conflict. </t>
  </si>
  <si>
    <t xml:space="preserve">When aware immediately escalate to Project Board and gain assistance from Project Sponsor to resolve the conflict. </t>
  </si>
  <si>
    <t xml:space="preserve">Project team meetings scheduled. </t>
  </si>
  <si>
    <t xml:space="preserve">No ability to reduce likelihood. </t>
  </si>
  <si>
    <t xml:space="preserve">Consider insurance and use Project Board to get advance notice if possible. </t>
  </si>
  <si>
    <t xml:space="preserve">Project Board reviewing insurance options. </t>
  </si>
  <si>
    <t xml:space="preserve">Legal action delays or pauses project. </t>
  </si>
  <si>
    <t xml:space="preserve">Project Sponsor </t>
  </si>
  <si>
    <t xml:space="preserve">Ensure all contracts signed before starting the project. Follow all  regulatory requirements and complete stakeholder management plan. </t>
  </si>
  <si>
    <t xml:space="preserve">Escalate to Project Board who will notify legal department. Follow instructions from legal. </t>
  </si>
  <si>
    <t xml:space="preserve">Contracts issued. </t>
  </si>
  <si>
    <t xml:space="preserve">Customer refuses to approve deliverables/milestones or delays approval, putting pressure on project manager to 'work at risk'. </t>
  </si>
  <si>
    <t xml:space="preserve">Ensure customer decision maker with budgetary authority is identified  before project start and is part of the project board. Communicate dates for sign-off points up front. </t>
  </si>
  <si>
    <t xml:space="preserve">Escalate to project Board and recommend action e.g. to stop the project. </t>
  </si>
  <si>
    <t xml:space="preserve">Customer project manager is confirming their sponsor / senior supplier. </t>
  </si>
  <si>
    <t>Action ID</t>
  </si>
  <si>
    <t xml:space="preserve">Date Added </t>
  </si>
  <si>
    <t>Action Title</t>
  </si>
  <si>
    <t>Action Details</t>
  </si>
  <si>
    <t>Status Update</t>
  </si>
  <si>
    <t xml:space="preserve">Target Closure Date </t>
  </si>
  <si>
    <t>RAG</t>
  </si>
  <si>
    <t xml:space="preserve">CAL Status </t>
  </si>
  <si>
    <t>Act001</t>
  </si>
  <si>
    <t>Project Documnentation</t>
  </si>
  <si>
    <t>Obtain Coppies of all relevant project Documents for Review</t>
  </si>
  <si>
    <t>Act002</t>
  </si>
  <si>
    <t>Act003</t>
  </si>
  <si>
    <t>Act004</t>
  </si>
  <si>
    <t xml:space="preserve">UAT Testing </t>
  </si>
  <si>
    <t>Timeline and dependencies review</t>
  </si>
  <si>
    <t>All programme dates to be reviewed</t>
  </si>
  <si>
    <t>QAT Testing</t>
  </si>
  <si>
    <t>Schedule with QA team at least 2 months in advance</t>
  </si>
  <si>
    <t>Project responsible for recruiting users. QA team to schedule testing</t>
  </si>
  <si>
    <t xml:space="preserve">12/02/2012 Sharepoint repository up to date </t>
  </si>
  <si>
    <t>25/1/2012 QA resource limited</t>
  </si>
  <si>
    <t>04/03/2009 Scheduled FY2013 NFA</t>
  </si>
  <si>
    <t>25/1/2012 BA to update at next All Hands meeting</t>
  </si>
  <si>
    <t>04/06/2010 Awaiting Lessons Learned from P116</t>
  </si>
  <si>
    <t>18/07/2010 Scope includes &gt;20 locations /departments</t>
  </si>
  <si>
    <t>12/12/2008 No Business Process documentation available</t>
  </si>
  <si>
    <t>23/08/2011 HoD support agreed</t>
  </si>
  <si>
    <t>04/03/2012 Meeting invite</t>
  </si>
  <si>
    <t>Description</t>
  </si>
  <si>
    <t>Type</t>
  </si>
  <si>
    <t>Risk</t>
  </si>
  <si>
    <t>Issue</t>
  </si>
  <si>
    <t>Full replan required. Review ROI at next OGC Gateway</t>
  </si>
  <si>
    <t>New requirements due to policy change</t>
  </si>
  <si>
    <t xml:space="preserve">Personal data breach </t>
  </si>
  <si>
    <t>Cost estimating and scheduling errors</t>
  </si>
  <si>
    <t>Contingent action</t>
  </si>
  <si>
    <t>Predicted Return on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</si>
</sst>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indexed="8"/>
      <name val="Calibri"/>
      <family val="2"/>
    </font>
    <font>
      <sz val="11"/>
      <color indexed="8"/>
      <name val="Calibri"/>
      <charset val="162"/>
    </font>
    <font>
      <sz val="11"/>
      <name val="Calibri"/>
      <family val="2"/>
    </font>
    <font>
      <sz val="8"/>
      <name val="Calibri"/>
      <family val="2"/>
      <scheme val="minor"/>
    </font>
    <font>
      <sz val="11"/>
      <color indexed="8"/>
      <name val="Arial"/>
      <family val="2"/>
    </font>
    <font>
      <b/>
      <u/>
      <sz val="11"/>
      <color rgb="FF000000"/>
      <name val="Calibri"/>
      <family val="2"/>
    </font>
    <font>
      <b/>
      <sz val="11"/>
      <color theme="0"/>
      <name val="Calibri"/>
      <family val="2"/>
      <scheme val="minor"/>
    </font>
    <font>
      <sz val="11"/>
      <color theme="0"/>
      <name val="Calibri"/>
      <family val="2"/>
      <scheme val="minor"/>
    </font>
    <font>
      <b/>
      <sz val="11"/>
      <color rgb="FF000000"/>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1"/>
        <bgColor indexed="64"/>
      </patternFill>
    </fill>
    <fill>
      <patternFill patternType="solid">
        <fgColor rgb="FFFFFF66"/>
        <bgColor theme="4" tint="0.79998168889431442"/>
      </patternFill>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55"/>
      </left>
      <right style="thin">
        <color indexed="55"/>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indexed="64"/>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1" fillId="0" borderId="3" xfId="0" applyNumberFormat="1" applyFont="1" applyBorder="1" applyAlignment="1">
      <alignment vertical="center" wrapText="1"/>
    </xf>
    <xf numFmtId="0" fontId="1" fillId="0" borderId="4" xfId="0" applyFont="1" applyBorder="1" applyAlignment="1">
      <alignment vertical="center" wrapText="1"/>
    </xf>
    <xf numFmtId="0" fontId="2" fillId="0" borderId="4" xfId="0" applyFont="1" applyBorder="1" applyAlignment="1">
      <alignment vertical="center" wrapText="1"/>
    </xf>
    <xf numFmtId="0" fontId="1" fillId="0" borderId="5"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6" xfId="0" applyFont="1" applyBorder="1" applyAlignment="1">
      <alignment vertical="center" wrapText="1"/>
    </xf>
    <xf numFmtId="0" fontId="2" fillId="2" borderId="7" xfId="0" applyFont="1" applyFill="1" applyBorder="1" applyAlignment="1">
      <alignment horizontal="center" vertical="center" wrapText="1"/>
    </xf>
    <xf numFmtId="14" fontId="0" fillId="0" borderId="0" xfId="0" applyNumberFormat="1"/>
    <xf numFmtId="0" fontId="1" fillId="2" borderId="7" xfId="0" applyFont="1" applyFill="1" applyBorder="1" applyAlignment="1">
      <alignment horizontal="center" vertical="center" wrapText="1"/>
    </xf>
    <xf numFmtId="14" fontId="2" fillId="2" borderId="7"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3" fillId="0" borderId="3" xfId="0" applyFont="1" applyBorder="1" applyAlignment="1">
      <alignment vertical="center" wrapText="1"/>
    </xf>
    <xf numFmtId="49" fontId="1" fillId="0" borderId="2" xfId="0" applyNumberFormat="1" applyFont="1" applyBorder="1" applyAlignment="1">
      <alignment vertical="center" wrapText="1"/>
    </xf>
    <xf numFmtId="49" fontId="0" fillId="0" borderId="11" xfId="0" applyNumberFormat="1" applyBorder="1"/>
    <xf numFmtId="0" fontId="5" fillId="0" borderId="12" xfId="0" applyFont="1" applyBorder="1"/>
    <xf numFmtId="14" fontId="1" fillId="0" borderId="4" xfId="0" applyNumberFormat="1" applyFont="1" applyBorder="1" applyAlignment="1">
      <alignment vertical="center" wrapText="1"/>
    </xf>
    <xf numFmtId="0" fontId="0" fillId="0" borderId="4" xfId="0" applyBorder="1"/>
    <xf numFmtId="0" fontId="1" fillId="0" borderId="0" xfId="0" applyFont="1" applyAlignment="1">
      <alignment vertical="center" wrapText="1"/>
    </xf>
    <xf numFmtId="0" fontId="1" fillId="0" borderId="7" xfId="0" applyFont="1" applyBorder="1" applyAlignment="1">
      <alignment vertical="center" wrapText="1"/>
    </xf>
    <xf numFmtId="0" fontId="0" fillId="0" borderId="11" xfId="0" applyBorder="1"/>
    <xf numFmtId="14" fontId="1" fillId="2" borderId="8" xfId="0" applyNumberFormat="1" applyFont="1" applyFill="1" applyBorder="1" applyAlignment="1">
      <alignment horizontal="center" vertical="center" wrapText="1"/>
    </xf>
    <xf numFmtId="0" fontId="1" fillId="0" borderId="8" xfId="0" applyFont="1" applyBorder="1" applyAlignment="1">
      <alignment vertical="center" wrapText="1"/>
    </xf>
    <xf numFmtId="49" fontId="1" fillId="0" borderId="13" xfId="0" applyNumberFormat="1" applyFont="1" applyBorder="1" applyAlignment="1">
      <alignment vertical="center" wrapText="1"/>
    </xf>
    <xf numFmtId="0" fontId="1" fillId="2" borderId="9"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8" xfId="0" applyBorder="1"/>
    <xf numFmtId="0" fontId="0" fillId="0" borderId="15" xfId="0" applyBorder="1" applyAlignment="1">
      <alignment horizontal="right"/>
    </xf>
    <xf numFmtId="0" fontId="7" fillId="4" borderId="14" xfId="0" applyFont="1" applyFill="1" applyBorder="1"/>
    <xf numFmtId="0" fontId="8" fillId="5" borderId="0" xfId="0" applyFont="1" applyFill="1" applyAlignment="1">
      <alignment horizontal="left" vertical="top" wrapText="1"/>
    </xf>
    <xf numFmtId="0" fontId="9" fillId="6" borderId="16" xfId="0" applyFont="1" applyFill="1" applyBorder="1"/>
    <xf numFmtId="0" fontId="7" fillId="4" borderId="0" xfId="0" applyFont="1" applyFill="1"/>
    <xf numFmtId="0" fontId="0" fillId="3" borderId="14" xfId="0" applyFill="1" applyBorder="1"/>
    <xf numFmtId="0" fontId="0" fillId="3" borderId="17" xfId="0" applyFill="1" applyBorder="1"/>
    <xf numFmtId="0" fontId="0" fillId="0" borderId="0" xfId="0" applyAlignment="1">
      <alignment horizontal="right"/>
    </xf>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border outline="0">
        <right style="thin">
          <color theme="4" tint="0.39997558519241921"/>
        </right>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rgb="FFFF0000"/>
        </patternFill>
      </fill>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30" formatCode="@"/>
      <alignment horizontal="general" vertical="center" textRotation="0" wrapText="1" indent="0" justifyLastLine="0" shrinkToFit="0" readingOrder="0"/>
      <border diagonalUp="0" diagonalDown="0">
        <left/>
        <right style="thin">
          <color indexed="64"/>
        </right>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1"/>
        <color indexed="8"/>
        <name val="Calibri"/>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42F01-B8E8-41EA-B2CA-DC2BC9B9BB79}" name="Table1" displayName="Table1" ref="A1:D80" totalsRowShown="0" headerRowDxfId="22" tableBorderDxfId="21">
  <autoFilter ref="A1:D80" xr:uid="{56042F01-B8E8-41EA-B2CA-DC2BC9B9BB79}"/>
  <tableColumns count="4">
    <tableColumn id="1" xr3:uid="{993454A8-D66E-4AD6-AEA6-D42AD385867B}" name="Proj ID" dataDxfId="20"/>
    <tableColumn id="2" xr3:uid="{62FACFBC-5A07-4314-897E-356AC8A77BAE}" name="Project Name" dataDxfId="19"/>
    <tableColumn id="3" xr3:uid="{919CC442-B4E9-41B0-A936-19D259BBE6EF}" name="Been subject to OGC Gateway?"/>
    <tableColumn id="4" xr3:uid="{FBCD71A4-7715-4729-8EEB-2C8D9EFB8909}" name="OGC review st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D0E38F-7755-40B2-B9CC-1970723F7822}" name="Action_log" displayName="Action_log" ref="A3:J15" totalsRowShown="0" headerRowDxfId="18" dataDxfId="17" tableBorderDxfId="16">
  <autoFilter ref="A3:J15" xr:uid="{85D73E52-EF4B-45A5-A1C0-0CEAF5606DAD}"/>
  <tableColumns count="10">
    <tableColumn id="2" xr3:uid="{DCA1CA9D-4FD1-4866-A2C0-BBF6446BE255}" name="Project ID" dataDxfId="15"/>
    <tableColumn id="3" xr3:uid="{BF1E562E-C491-4E20-BE74-4DE0DE335A49}" name="Action ID" dataDxfId="14"/>
    <tableColumn id="17" xr3:uid="{09EE97E1-EA62-464A-AD7D-D14FF31D5CA7}" name="Date Added " dataDxfId="13"/>
    <tableColumn id="18" xr3:uid="{0BA4CDE3-5B18-4153-9F0A-96BD949904B6}" name="Action Title" dataDxfId="12"/>
    <tableColumn id="21" xr3:uid="{0ADF38AB-6CF1-4859-918A-BA9D7C0FF6BA}" name="Action Details" dataDxfId="11"/>
    <tableColumn id="7" xr3:uid="{A3E7082C-226B-41F8-9DE6-F313DE30FA3B}" name="Status Update" dataDxfId="10"/>
    <tableColumn id="8" xr3:uid="{EB718F27-9D8E-4FAA-8518-718F208E0B4B}" name="Target Closure Date " dataDxfId="9"/>
    <tableColumn id="9" xr3:uid="{5EC1E8FA-4331-456A-912C-51F0CADAAB8D}" name="Status" dataDxfId="8"/>
    <tableColumn id="10" xr3:uid="{32EF308A-57C9-4CA5-9566-4C1F2534BD83}" name="RAG" dataDxfId="7"/>
    <tableColumn id="16" xr3:uid="{AFAC1753-0337-4496-9311-7D4F8DAD06E2}" name="CAL Status " dataDxfId="6">
      <calculatedColumnFormula>IF(Action_log[[#This Row],[Status Update]]="Cleared", 1, IF(Action_log[[#This Row],[Status Update]]="Ongoing", 2, IF(Action_log[[#This Row],[Status Update]]="OVERDUE",3)))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D270-019B-473F-9423-6C94E3A03707}">
  <dimension ref="A1:H80"/>
  <sheetViews>
    <sheetView zoomScale="75" zoomScaleNormal="75" workbookViewId="0">
      <selection activeCell="F52" sqref="F52"/>
    </sheetView>
  </sheetViews>
  <sheetFormatPr defaultColWidth="42.7109375" defaultRowHeight="15" x14ac:dyDescent="0.25"/>
  <cols>
    <col min="1" max="1" width="12.7109375" customWidth="1"/>
    <col min="2" max="2" width="100.7109375" customWidth="1"/>
    <col min="3" max="3" width="48.42578125" customWidth="1"/>
    <col min="4" max="4" width="53.7109375" customWidth="1"/>
    <col min="5" max="5" width="34.140625" customWidth="1"/>
    <col min="6" max="6" width="13.85546875" style="14" customWidth="1"/>
    <col min="7" max="7" width="22.28515625" customWidth="1"/>
  </cols>
  <sheetData>
    <row r="1" spans="1:8" ht="15.75" thickBot="1" x14ac:dyDescent="0.3">
      <c r="A1" s="1" t="s">
        <v>0</v>
      </c>
      <c r="B1" s="2" t="s">
        <v>1</v>
      </c>
      <c r="C1" s="3" t="s">
        <v>2</v>
      </c>
      <c r="D1" s="3" t="s">
        <v>3</v>
      </c>
      <c r="E1" s="3" t="s">
        <v>651</v>
      </c>
      <c r="F1" s="16" t="s">
        <v>286</v>
      </c>
      <c r="G1" s="13" t="s">
        <v>605</v>
      </c>
      <c r="H1" s="13" t="s">
        <v>609</v>
      </c>
    </row>
    <row r="2" spans="1:8" x14ac:dyDescent="0.25">
      <c r="A2" s="4" t="s">
        <v>154</v>
      </c>
      <c r="B2" s="5" t="s">
        <v>155</v>
      </c>
      <c r="C2" s="6" t="s">
        <v>129</v>
      </c>
      <c r="D2" s="6" t="s">
        <v>130</v>
      </c>
      <c r="E2" s="7" t="s">
        <v>131</v>
      </c>
      <c r="F2" s="14">
        <v>35978</v>
      </c>
      <c r="G2" t="s">
        <v>608</v>
      </c>
      <c r="H2" t="s">
        <v>610</v>
      </c>
    </row>
    <row r="3" spans="1:8" x14ac:dyDescent="0.25">
      <c r="A3" s="4" t="s">
        <v>119</v>
      </c>
      <c r="B3" s="10" t="s">
        <v>120</v>
      </c>
      <c r="C3" s="10" t="s">
        <v>84</v>
      </c>
      <c r="D3" s="10" t="s">
        <v>121</v>
      </c>
      <c r="E3" s="10" t="s">
        <v>12</v>
      </c>
      <c r="F3" s="14">
        <v>36243</v>
      </c>
      <c r="G3" s="33" t="s">
        <v>608</v>
      </c>
      <c r="H3" t="s">
        <v>611</v>
      </c>
    </row>
    <row r="4" spans="1:8" x14ac:dyDescent="0.25">
      <c r="A4" s="4" t="s">
        <v>63</v>
      </c>
      <c r="B4" s="10" t="s">
        <v>64</v>
      </c>
      <c r="C4" s="9" t="s">
        <v>48</v>
      </c>
      <c r="D4" s="9" t="s">
        <v>53</v>
      </c>
      <c r="E4" s="10" t="s">
        <v>50</v>
      </c>
      <c r="F4" s="14">
        <v>36526</v>
      </c>
      <c r="G4" s="29" t="s">
        <v>606</v>
      </c>
      <c r="H4" t="s">
        <v>627</v>
      </c>
    </row>
    <row r="5" spans="1:8" x14ac:dyDescent="0.25">
      <c r="A5" s="4" t="s">
        <v>277</v>
      </c>
      <c r="B5" s="10" t="s">
        <v>278</v>
      </c>
      <c r="C5" s="9" t="s">
        <v>260</v>
      </c>
      <c r="D5" s="9" t="s">
        <v>265</v>
      </c>
      <c r="E5" s="10" t="s">
        <v>5</v>
      </c>
      <c r="F5" s="14">
        <v>36809</v>
      </c>
      <c r="G5" s="33" t="s">
        <v>608</v>
      </c>
      <c r="H5" t="s">
        <v>613</v>
      </c>
    </row>
    <row r="6" spans="1:8" x14ac:dyDescent="0.25">
      <c r="A6" s="4" t="s">
        <v>75</v>
      </c>
      <c r="B6" s="10" t="s">
        <v>76</v>
      </c>
      <c r="C6" s="9" t="s">
        <v>48</v>
      </c>
      <c r="D6" s="9" t="s">
        <v>53</v>
      </c>
      <c r="E6" s="10" t="s">
        <v>50</v>
      </c>
      <c r="F6" s="14">
        <v>37221</v>
      </c>
      <c r="G6" s="29" t="s">
        <v>608</v>
      </c>
      <c r="H6" t="s">
        <v>614</v>
      </c>
    </row>
    <row r="7" spans="1:8" x14ac:dyDescent="0.25">
      <c r="A7" s="4" t="s">
        <v>144</v>
      </c>
      <c r="B7" s="10" t="s">
        <v>145</v>
      </c>
      <c r="C7" s="9" t="s">
        <v>129</v>
      </c>
      <c r="D7" s="9" t="s">
        <v>130</v>
      </c>
      <c r="E7" s="10" t="s">
        <v>131</v>
      </c>
      <c r="F7" s="14">
        <v>37775</v>
      </c>
      <c r="G7" s="33" t="s">
        <v>606</v>
      </c>
      <c r="H7" t="s">
        <v>615</v>
      </c>
    </row>
    <row r="8" spans="1:8" x14ac:dyDescent="0.25">
      <c r="A8" s="4" t="s">
        <v>104</v>
      </c>
      <c r="B8" s="10" t="s">
        <v>105</v>
      </c>
      <c r="C8" s="9" t="s">
        <v>84</v>
      </c>
      <c r="D8" s="9" t="s">
        <v>89</v>
      </c>
      <c r="E8" s="10" t="s">
        <v>25</v>
      </c>
      <c r="F8" s="14">
        <v>38040</v>
      </c>
      <c r="G8" s="33" t="s">
        <v>608</v>
      </c>
      <c r="H8" t="s">
        <v>616</v>
      </c>
    </row>
    <row r="9" spans="1:8" x14ac:dyDescent="0.25">
      <c r="A9" s="4" t="s">
        <v>78</v>
      </c>
      <c r="B9" s="10" t="s">
        <v>79</v>
      </c>
      <c r="C9" s="9" t="s">
        <v>48</v>
      </c>
      <c r="D9" s="9" t="s">
        <v>49</v>
      </c>
      <c r="E9" s="10" t="s">
        <v>50</v>
      </c>
      <c r="F9" s="14">
        <v>38045</v>
      </c>
      <c r="G9" s="29" t="s">
        <v>606</v>
      </c>
      <c r="H9" t="s">
        <v>627</v>
      </c>
    </row>
    <row r="10" spans="1:8" x14ac:dyDescent="0.25">
      <c r="A10" s="4" t="s">
        <v>146</v>
      </c>
      <c r="B10" s="10" t="s">
        <v>147</v>
      </c>
      <c r="C10" s="9" t="s">
        <v>129</v>
      </c>
      <c r="D10" s="9" t="s">
        <v>148</v>
      </c>
      <c r="E10" s="10" t="s">
        <v>131</v>
      </c>
      <c r="F10" s="14">
        <v>38054</v>
      </c>
      <c r="G10" s="33" t="s">
        <v>608</v>
      </c>
      <c r="H10" t="s">
        <v>618</v>
      </c>
    </row>
    <row r="11" spans="1:8" x14ac:dyDescent="0.25">
      <c r="A11" s="4" t="s">
        <v>55</v>
      </c>
      <c r="B11" s="10" t="s">
        <v>56</v>
      </c>
      <c r="C11" s="9" t="s">
        <v>48</v>
      </c>
      <c r="D11" s="9" t="s">
        <v>53</v>
      </c>
      <c r="E11" s="10" t="s">
        <v>50</v>
      </c>
      <c r="F11" s="14">
        <v>38323</v>
      </c>
      <c r="G11" s="29" t="s">
        <v>608</v>
      </c>
      <c r="H11" t="s">
        <v>619</v>
      </c>
    </row>
    <row r="12" spans="1:8" x14ac:dyDescent="0.25">
      <c r="A12" s="4" t="s">
        <v>69</v>
      </c>
      <c r="B12" s="10" t="s">
        <v>70</v>
      </c>
      <c r="C12" s="9" t="s">
        <v>48</v>
      </c>
      <c r="D12" s="9" t="s">
        <v>49</v>
      </c>
      <c r="E12" s="10" t="s">
        <v>50</v>
      </c>
      <c r="F12" s="14">
        <v>38443</v>
      </c>
      <c r="G12" s="29" t="s">
        <v>608</v>
      </c>
      <c r="H12" t="s">
        <v>620</v>
      </c>
    </row>
    <row r="13" spans="1:8" x14ac:dyDescent="0.25">
      <c r="A13" s="4" t="s">
        <v>80</v>
      </c>
      <c r="B13" s="10" t="s">
        <v>81</v>
      </c>
      <c r="C13" s="9" t="s">
        <v>48</v>
      </c>
      <c r="D13" s="9" t="s">
        <v>59</v>
      </c>
      <c r="E13" s="10" t="s">
        <v>50</v>
      </c>
      <c r="F13" s="14">
        <v>38457</v>
      </c>
      <c r="G13" s="29" t="s">
        <v>608</v>
      </c>
      <c r="H13" t="s">
        <v>621</v>
      </c>
    </row>
    <row r="14" spans="1:8" x14ac:dyDescent="0.25">
      <c r="A14" s="4" t="s">
        <v>263</v>
      </c>
      <c r="B14" s="10" t="s">
        <v>264</v>
      </c>
      <c r="C14" s="9" t="s">
        <v>260</v>
      </c>
      <c r="D14" s="9" t="s">
        <v>265</v>
      </c>
      <c r="E14" s="10" t="s">
        <v>5</v>
      </c>
      <c r="F14" s="14">
        <v>38606</v>
      </c>
      <c r="G14" s="33" t="s">
        <v>607</v>
      </c>
      <c r="H14" t="s">
        <v>622</v>
      </c>
    </row>
    <row r="15" spans="1:8" x14ac:dyDescent="0.25">
      <c r="A15" s="4" t="s">
        <v>13</v>
      </c>
      <c r="B15" s="10" t="s">
        <v>14</v>
      </c>
      <c r="C15" s="9" t="s">
        <v>9</v>
      </c>
      <c r="D15" s="9" t="s">
        <v>10</v>
      </c>
      <c r="E15" s="10" t="s">
        <v>12</v>
      </c>
      <c r="F15" s="14">
        <v>38708</v>
      </c>
      <c r="G15" s="29" t="s">
        <v>607</v>
      </c>
      <c r="H15" t="s">
        <v>623</v>
      </c>
    </row>
    <row r="16" spans="1:8" x14ac:dyDescent="0.25">
      <c r="A16" s="4" t="s">
        <v>51</v>
      </c>
      <c r="B16" s="10" t="s">
        <v>52</v>
      </c>
      <c r="C16" s="9" t="s">
        <v>48</v>
      </c>
      <c r="D16" s="9" t="s">
        <v>53</v>
      </c>
      <c r="E16" s="10" t="s">
        <v>54</v>
      </c>
      <c r="F16" s="14">
        <v>38752</v>
      </c>
      <c r="G16" s="29" t="s">
        <v>608</v>
      </c>
      <c r="H16" t="s">
        <v>624</v>
      </c>
    </row>
    <row r="17" spans="1:8" x14ac:dyDescent="0.25">
      <c r="A17" s="4" t="s">
        <v>90</v>
      </c>
      <c r="B17" s="10" t="s">
        <v>91</v>
      </c>
      <c r="C17" s="10" t="s">
        <v>84</v>
      </c>
      <c r="D17" s="10" t="s">
        <v>92</v>
      </c>
      <c r="E17" s="10" t="s">
        <v>12</v>
      </c>
      <c r="F17" s="14">
        <v>38869</v>
      </c>
      <c r="G17" s="33" t="s">
        <v>608</v>
      </c>
      <c r="H17" t="s">
        <v>625</v>
      </c>
    </row>
    <row r="18" spans="1:8" x14ac:dyDescent="0.25">
      <c r="A18" s="4" t="s">
        <v>117</v>
      </c>
      <c r="B18" s="10" t="s">
        <v>118</v>
      </c>
      <c r="C18" s="10" t="s">
        <v>84</v>
      </c>
      <c r="D18" s="10" t="s">
        <v>100</v>
      </c>
      <c r="E18" s="10" t="s">
        <v>103</v>
      </c>
      <c r="F18" s="14">
        <v>38898</v>
      </c>
      <c r="G18" s="33" t="s">
        <v>608</v>
      </c>
      <c r="H18" t="s">
        <v>626</v>
      </c>
    </row>
    <row r="19" spans="1:8" x14ac:dyDescent="0.25">
      <c r="A19" s="4" t="s">
        <v>237</v>
      </c>
      <c r="B19" s="10" t="s">
        <v>238</v>
      </c>
      <c r="C19" s="9" t="s">
        <v>199</v>
      </c>
      <c r="D19" s="9" t="s">
        <v>200</v>
      </c>
      <c r="E19" s="10" t="s">
        <v>11</v>
      </c>
      <c r="F19" s="14">
        <v>38973</v>
      </c>
      <c r="G19" s="33" t="s">
        <v>607</v>
      </c>
      <c r="H19" t="s">
        <v>627</v>
      </c>
    </row>
    <row r="20" spans="1:8" x14ac:dyDescent="0.25">
      <c r="A20" s="4" t="s">
        <v>20</v>
      </c>
      <c r="B20" s="10" t="s">
        <v>21</v>
      </c>
      <c r="C20" s="9" t="s">
        <v>15</v>
      </c>
      <c r="D20" s="9" t="s">
        <v>18</v>
      </c>
      <c r="E20" s="10" t="s">
        <v>15</v>
      </c>
      <c r="F20" s="14">
        <v>38991</v>
      </c>
      <c r="G20" s="29" t="s">
        <v>607</v>
      </c>
      <c r="H20" t="s">
        <v>628</v>
      </c>
    </row>
    <row r="21" spans="1:8" x14ac:dyDescent="0.25">
      <c r="A21" s="4" t="s">
        <v>137</v>
      </c>
      <c r="B21" s="10" t="s">
        <v>138</v>
      </c>
      <c r="C21" s="9" t="s">
        <v>129</v>
      </c>
      <c r="D21" s="9" t="s">
        <v>130</v>
      </c>
      <c r="E21" s="10" t="s">
        <v>131</v>
      </c>
      <c r="F21" s="14">
        <v>39056</v>
      </c>
      <c r="G21" s="33" t="s">
        <v>607</v>
      </c>
      <c r="H21" t="s">
        <v>629</v>
      </c>
    </row>
    <row r="22" spans="1:8" x14ac:dyDescent="0.25">
      <c r="A22" s="4" t="s">
        <v>140</v>
      </c>
      <c r="B22" s="10" t="s">
        <v>141</v>
      </c>
      <c r="C22" s="9" t="s">
        <v>129</v>
      </c>
      <c r="D22" s="9" t="s">
        <v>130</v>
      </c>
      <c r="E22" s="10" t="s">
        <v>131</v>
      </c>
      <c r="F22" s="14">
        <v>39103</v>
      </c>
      <c r="G22" s="33" t="s">
        <v>607</v>
      </c>
      <c r="H22" t="s">
        <v>630</v>
      </c>
    </row>
    <row r="23" spans="1:8" x14ac:dyDescent="0.25">
      <c r="A23" s="4" t="s">
        <v>35</v>
      </c>
      <c r="B23" s="10" t="s">
        <v>36</v>
      </c>
      <c r="C23" s="9" t="s">
        <v>31</v>
      </c>
      <c r="D23" s="9" t="s">
        <v>34</v>
      </c>
      <c r="E23" s="10" t="s">
        <v>33</v>
      </c>
      <c r="F23" s="14">
        <v>39163</v>
      </c>
      <c r="G23" s="29" t="s">
        <v>607</v>
      </c>
      <c r="H23" t="s">
        <v>627</v>
      </c>
    </row>
    <row r="24" spans="1:8" x14ac:dyDescent="0.25">
      <c r="A24" s="4" t="s">
        <v>158</v>
      </c>
      <c r="B24" s="10" t="s">
        <v>159</v>
      </c>
      <c r="C24" s="9" t="s">
        <v>129</v>
      </c>
      <c r="D24" s="9" t="s">
        <v>160</v>
      </c>
      <c r="E24" s="10" t="s">
        <v>131</v>
      </c>
      <c r="F24" s="14">
        <v>39196</v>
      </c>
      <c r="G24" s="33" t="s">
        <v>606</v>
      </c>
      <c r="H24" t="s">
        <v>632</v>
      </c>
    </row>
    <row r="25" spans="1:8" x14ac:dyDescent="0.25">
      <c r="A25" s="4" t="s">
        <v>219</v>
      </c>
      <c r="B25" s="10" t="s">
        <v>220</v>
      </c>
      <c r="C25" s="9" t="s">
        <v>199</v>
      </c>
      <c r="D25" s="9" t="s">
        <v>206</v>
      </c>
      <c r="E25" s="10" t="s">
        <v>207</v>
      </c>
      <c r="F25" s="14">
        <v>39256</v>
      </c>
      <c r="G25" s="33" t="s">
        <v>607</v>
      </c>
      <c r="H25" t="s">
        <v>642</v>
      </c>
    </row>
    <row r="26" spans="1:8" x14ac:dyDescent="0.25">
      <c r="A26" s="4" t="s">
        <v>223</v>
      </c>
      <c r="B26" s="10" t="s">
        <v>224</v>
      </c>
      <c r="C26" s="10" t="s">
        <v>199</v>
      </c>
      <c r="D26" s="10" t="s">
        <v>210</v>
      </c>
      <c r="E26" s="10" t="s">
        <v>12</v>
      </c>
      <c r="F26" s="14">
        <v>39274</v>
      </c>
      <c r="G26" s="33" t="s">
        <v>607</v>
      </c>
      <c r="H26" t="s">
        <v>633</v>
      </c>
    </row>
    <row r="27" spans="1:8" x14ac:dyDescent="0.25">
      <c r="A27" s="4" t="s">
        <v>93</v>
      </c>
      <c r="B27" s="10" t="s">
        <v>94</v>
      </c>
      <c r="C27" s="10" t="s">
        <v>84</v>
      </c>
      <c r="D27" s="10" t="s">
        <v>95</v>
      </c>
      <c r="E27" s="10" t="s">
        <v>96</v>
      </c>
      <c r="F27" s="14">
        <v>39281</v>
      </c>
      <c r="G27" s="33" t="s">
        <v>607</v>
      </c>
      <c r="H27" t="s">
        <v>627</v>
      </c>
    </row>
    <row r="28" spans="1:8" x14ac:dyDescent="0.25">
      <c r="A28" s="4" t="s">
        <v>173</v>
      </c>
      <c r="B28" s="10" t="s">
        <v>174</v>
      </c>
      <c r="C28" s="9" t="s">
        <v>175</v>
      </c>
      <c r="D28" s="9" t="s">
        <v>176</v>
      </c>
      <c r="E28" s="10" t="s">
        <v>177</v>
      </c>
      <c r="F28" s="14">
        <v>39319</v>
      </c>
      <c r="G28" s="33" t="s">
        <v>607</v>
      </c>
      <c r="H28" t="s">
        <v>635</v>
      </c>
    </row>
    <row r="29" spans="1:8" x14ac:dyDescent="0.25">
      <c r="A29" s="4" t="s">
        <v>169</v>
      </c>
      <c r="B29" s="10" t="s">
        <v>170</v>
      </c>
      <c r="C29" s="9" t="s">
        <v>129</v>
      </c>
      <c r="D29" s="9" t="s">
        <v>130</v>
      </c>
      <c r="E29" s="10" t="s">
        <v>131</v>
      </c>
      <c r="F29" s="14">
        <v>39328</v>
      </c>
      <c r="G29" s="33" t="s">
        <v>607</v>
      </c>
      <c r="H29" t="s">
        <v>636</v>
      </c>
    </row>
    <row r="30" spans="1:8" x14ac:dyDescent="0.25">
      <c r="A30" s="4" t="s">
        <v>61</v>
      </c>
      <c r="B30" s="10" t="s">
        <v>62</v>
      </c>
      <c r="C30" s="9" t="s">
        <v>48</v>
      </c>
      <c r="D30" s="9" t="s">
        <v>59</v>
      </c>
      <c r="E30" s="10" t="s">
        <v>50</v>
      </c>
      <c r="F30" s="14">
        <v>39380</v>
      </c>
      <c r="G30" s="29" t="s">
        <v>608</v>
      </c>
      <c r="H30" t="s">
        <v>627</v>
      </c>
    </row>
    <row r="31" spans="1:8" x14ac:dyDescent="0.25">
      <c r="A31" s="4" t="s">
        <v>233</v>
      </c>
      <c r="B31" s="10" t="s">
        <v>234</v>
      </c>
      <c r="C31" s="9" t="s">
        <v>199</v>
      </c>
      <c r="D31" s="9" t="s">
        <v>206</v>
      </c>
      <c r="E31" s="10" t="s">
        <v>5</v>
      </c>
      <c r="F31" s="14">
        <v>39400</v>
      </c>
      <c r="G31" s="33" t="s">
        <v>608</v>
      </c>
      <c r="H31" t="s">
        <v>642</v>
      </c>
    </row>
    <row r="32" spans="1:8" ht="30" x14ac:dyDescent="0.25">
      <c r="A32" s="4" t="s">
        <v>37</v>
      </c>
      <c r="B32" s="10" t="s">
        <v>38</v>
      </c>
      <c r="C32" s="9" t="s">
        <v>31</v>
      </c>
      <c r="D32" s="9" t="s">
        <v>32</v>
      </c>
      <c r="E32" s="10" t="s">
        <v>33</v>
      </c>
      <c r="F32" s="14">
        <v>39431</v>
      </c>
      <c r="G32" s="29" t="s">
        <v>607</v>
      </c>
      <c r="H32" t="s">
        <v>639</v>
      </c>
    </row>
    <row r="33" spans="1:8" x14ac:dyDescent="0.25">
      <c r="A33" s="4" t="s">
        <v>45</v>
      </c>
      <c r="B33" s="10" t="s">
        <v>46</v>
      </c>
      <c r="C33" s="9" t="s">
        <v>40</v>
      </c>
      <c r="D33" s="9" t="s">
        <v>41</v>
      </c>
      <c r="E33" s="10" t="s">
        <v>42</v>
      </c>
      <c r="F33" s="14">
        <v>39446</v>
      </c>
      <c r="G33" s="29" t="s">
        <v>607</v>
      </c>
      <c r="H33" t="s">
        <v>640</v>
      </c>
    </row>
    <row r="34" spans="1:8" x14ac:dyDescent="0.25">
      <c r="A34" s="4" t="s">
        <v>189</v>
      </c>
      <c r="B34" s="10" t="s">
        <v>190</v>
      </c>
      <c r="C34" s="9" t="s">
        <v>185</v>
      </c>
      <c r="D34" s="9" t="s">
        <v>186</v>
      </c>
      <c r="E34" s="10" t="s">
        <v>6</v>
      </c>
      <c r="F34" s="14">
        <v>39487</v>
      </c>
      <c r="G34" s="33" t="s">
        <v>606</v>
      </c>
      <c r="H34" t="s">
        <v>641</v>
      </c>
    </row>
    <row r="35" spans="1:8" x14ac:dyDescent="0.25">
      <c r="A35" s="4" t="s">
        <v>217</v>
      </c>
      <c r="B35" s="10" t="s">
        <v>218</v>
      </c>
      <c r="C35" s="9" t="s">
        <v>199</v>
      </c>
      <c r="D35" s="9" t="s">
        <v>210</v>
      </c>
      <c r="E35" s="10" t="s">
        <v>182</v>
      </c>
      <c r="F35" s="14">
        <v>39535</v>
      </c>
      <c r="G35" s="33" t="s">
        <v>606</v>
      </c>
      <c r="H35" t="s">
        <v>642</v>
      </c>
    </row>
    <row r="36" spans="1:8" x14ac:dyDescent="0.25">
      <c r="A36" s="4" t="s">
        <v>165</v>
      </c>
      <c r="B36" s="10" t="s">
        <v>166</v>
      </c>
      <c r="C36" s="9" t="s">
        <v>129</v>
      </c>
      <c r="D36" s="9" t="s">
        <v>130</v>
      </c>
      <c r="E36" s="10" t="s">
        <v>131</v>
      </c>
      <c r="F36" s="14">
        <v>39544</v>
      </c>
      <c r="G36" s="33" t="s">
        <v>606</v>
      </c>
      <c r="H36" t="s">
        <v>643</v>
      </c>
    </row>
    <row r="37" spans="1:8" x14ac:dyDescent="0.25">
      <c r="A37" s="4" t="s">
        <v>230</v>
      </c>
      <c r="B37" s="10" t="s">
        <v>231</v>
      </c>
      <c r="C37" s="9" t="s">
        <v>199</v>
      </c>
      <c r="D37" s="9" t="s">
        <v>232</v>
      </c>
      <c r="E37" s="10" t="s">
        <v>11</v>
      </c>
      <c r="F37" s="14">
        <v>39581</v>
      </c>
      <c r="G37" s="33" t="s">
        <v>607</v>
      </c>
      <c r="H37" t="s">
        <v>627</v>
      </c>
    </row>
    <row r="38" spans="1:8" x14ac:dyDescent="0.25">
      <c r="A38" s="4" t="s">
        <v>235</v>
      </c>
      <c r="B38" s="10" t="s">
        <v>236</v>
      </c>
      <c r="C38" s="9" t="s">
        <v>199</v>
      </c>
      <c r="D38" s="9" t="s">
        <v>216</v>
      </c>
      <c r="E38" s="10" t="s">
        <v>207</v>
      </c>
      <c r="F38" s="14">
        <v>39584</v>
      </c>
      <c r="G38" s="33" t="s">
        <v>606</v>
      </c>
      <c r="H38" t="s">
        <v>644</v>
      </c>
    </row>
    <row r="39" spans="1:8" x14ac:dyDescent="0.25">
      <c r="A39" s="4" t="s">
        <v>202</v>
      </c>
      <c r="B39" s="10" t="s">
        <v>203</v>
      </c>
      <c r="C39" s="9" t="s">
        <v>199</v>
      </c>
      <c r="D39" s="9" t="s">
        <v>200</v>
      </c>
      <c r="E39" s="10" t="s">
        <v>182</v>
      </c>
      <c r="F39" s="14">
        <v>39593</v>
      </c>
      <c r="G39" s="33" t="s">
        <v>606</v>
      </c>
      <c r="H39" t="s">
        <v>645</v>
      </c>
    </row>
    <row r="40" spans="1:8" x14ac:dyDescent="0.25">
      <c r="A40" s="4" t="s">
        <v>67</v>
      </c>
      <c r="B40" s="10" t="s">
        <v>68</v>
      </c>
      <c r="C40" s="9" t="s">
        <v>48</v>
      </c>
      <c r="D40" s="9" t="s">
        <v>59</v>
      </c>
      <c r="E40" s="10" t="s">
        <v>54</v>
      </c>
      <c r="F40" s="14">
        <v>39610</v>
      </c>
      <c r="G40" s="29" t="s">
        <v>608</v>
      </c>
      <c r="H40" t="s">
        <v>624</v>
      </c>
    </row>
    <row r="41" spans="1:8" x14ac:dyDescent="0.25">
      <c r="A41" s="4" t="s">
        <v>161</v>
      </c>
      <c r="B41" s="10" t="s">
        <v>162</v>
      </c>
      <c r="C41" s="9" t="s">
        <v>129</v>
      </c>
      <c r="D41" s="9" t="s">
        <v>130</v>
      </c>
      <c r="E41" s="10" t="s">
        <v>131</v>
      </c>
      <c r="F41" s="14">
        <v>39692</v>
      </c>
      <c r="G41" s="33" t="s">
        <v>606</v>
      </c>
      <c r="H41" t="s">
        <v>646</v>
      </c>
    </row>
    <row r="42" spans="1:8" x14ac:dyDescent="0.25">
      <c r="A42" s="4" t="s">
        <v>109</v>
      </c>
      <c r="B42" s="10" t="s">
        <v>110</v>
      </c>
      <c r="C42" s="9" t="s">
        <v>84</v>
      </c>
      <c r="D42" s="9" t="s">
        <v>111</v>
      </c>
      <c r="E42" s="10" t="s">
        <v>25</v>
      </c>
      <c r="F42" s="14">
        <v>39693</v>
      </c>
      <c r="G42" s="33" t="s">
        <v>606</v>
      </c>
      <c r="H42" t="s">
        <v>647</v>
      </c>
    </row>
    <row r="43" spans="1:8" x14ac:dyDescent="0.25">
      <c r="A43" s="4" t="s">
        <v>152</v>
      </c>
      <c r="B43" s="10" t="s">
        <v>153</v>
      </c>
      <c r="C43" s="9" t="s">
        <v>129</v>
      </c>
      <c r="D43" s="9" t="s">
        <v>130</v>
      </c>
      <c r="E43" s="10" t="s">
        <v>131</v>
      </c>
      <c r="F43" s="14">
        <v>39713</v>
      </c>
      <c r="G43" s="33" t="s">
        <v>606</v>
      </c>
      <c r="H43" t="s">
        <v>648</v>
      </c>
    </row>
    <row r="44" spans="1:8" x14ac:dyDescent="0.25">
      <c r="A44" s="4" t="s">
        <v>266</v>
      </c>
      <c r="B44" s="10" t="s">
        <v>267</v>
      </c>
      <c r="C44" s="9" t="s">
        <v>260</v>
      </c>
      <c r="D44" s="9" t="s">
        <v>262</v>
      </c>
      <c r="E44" s="10" t="s">
        <v>5</v>
      </c>
      <c r="F44" s="14">
        <v>39722</v>
      </c>
      <c r="G44" s="33" t="s">
        <v>608</v>
      </c>
      <c r="H44" t="s">
        <v>649</v>
      </c>
    </row>
    <row r="45" spans="1:8" x14ac:dyDescent="0.25">
      <c r="A45" s="4" t="s">
        <v>226</v>
      </c>
      <c r="B45" s="10" t="s">
        <v>227</v>
      </c>
      <c r="C45" s="9" t="s">
        <v>199</v>
      </c>
      <c r="D45" s="9" t="s">
        <v>206</v>
      </c>
      <c r="E45" s="10" t="s">
        <v>207</v>
      </c>
      <c r="F45" s="14">
        <v>39729</v>
      </c>
      <c r="G45" s="33" t="s">
        <v>608</v>
      </c>
      <c r="H45" t="s">
        <v>650</v>
      </c>
    </row>
    <row r="46" spans="1:8" x14ac:dyDescent="0.25">
      <c r="A46" s="4" t="s">
        <v>268</v>
      </c>
      <c r="B46" s="10" t="s">
        <v>269</v>
      </c>
      <c r="C46" s="9" t="s">
        <v>260</v>
      </c>
      <c r="D46" s="9" t="s">
        <v>270</v>
      </c>
      <c r="E46" s="10" t="s">
        <v>5</v>
      </c>
      <c r="F46" s="14">
        <v>39768</v>
      </c>
      <c r="G46" s="33" t="s">
        <v>608</v>
      </c>
      <c r="H46" t="s">
        <v>642</v>
      </c>
    </row>
    <row r="47" spans="1:8" x14ac:dyDescent="0.25">
      <c r="A47" s="4" t="s">
        <v>180</v>
      </c>
      <c r="B47" s="10" t="s">
        <v>181</v>
      </c>
      <c r="C47" s="9" t="s">
        <v>175</v>
      </c>
      <c r="D47" s="9" t="s">
        <v>176</v>
      </c>
      <c r="E47" s="10" t="s">
        <v>182</v>
      </c>
      <c r="F47" s="14">
        <v>39806</v>
      </c>
      <c r="G47" s="33" t="s">
        <v>608</v>
      </c>
      <c r="H47" t="s">
        <v>611</v>
      </c>
    </row>
    <row r="48" spans="1:8" x14ac:dyDescent="0.25">
      <c r="A48" s="4" t="s">
        <v>178</v>
      </c>
      <c r="B48" s="10" t="s">
        <v>179</v>
      </c>
      <c r="C48" s="9" t="s">
        <v>175</v>
      </c>
      <c r="D48" s="9" t="s">
        <v>176</v>
      </c>
      <c r="E48" s="10" t="s">
        <v>177</v>
      </c>
      <c r="F48" s="14">
        <v>39809</v>
      </c>
      <c r="G48" s="33" t="s">
        <v>606</v>
      </c>
      <c r="H48" t="s">
        <v>612</v>
      </c>
    </row>
    <row r="49" spans="1:8" x14ac:dyDescent="0.25">
      <c r="A49" s="4" t="s">
        <v>134</v>
      </c>
      <c r="B49" s="10" t="s">
        <v>135</v>
      </c>
      <c r="C49" s="9" t="s">
        <v>129</v>
      </c>
      <c r="D49" s="9" t="s">
        <v>136</v>
      </c>
      <c r="E49" s="10" t="s">
        <v>131</v>
      </c>
      <c r="F49" s="14">
        <v>39818</v>
      </c>
      <c r="G49" s="33" t="s">
        <v>608</v>
      </c>
      <c r="H49" t="s">
        <v>613</v>
      </c>
    </row>
    <row r="50" spans="1:8" x14ac:dyDescent="0.25">
      <c r="A50" s="4" t="s">
        <v>127</v>
      </c>
      <c r="B50" s="10" t="s">
        <v>128</v>
      </c>
      <c r="C50" s="9" t="s">
        <v>129</v>
      </c>
      <c r="D50" s="9" t="s">
        <v>130</v>
      </c>
      <c r="E50" s="10" t="s">
        <v>131</v>
      </c>
      <c r="F50" s="14">
        <v>39832</v>
      </c>
      <c r="G50" s="33" t="s">
        <v>608</v>
      </c>
      <c r="H50" t="s">
        <v>614</v>
      </c>
    </row>
    <row r="51" spans="1:8" x14ac:dyDescent="0.25">
      <c r="A51" s="4" t="s">
        <v>204</v>
      </c>
      <c r="B51" s="10" t="s">
        <v>205</v>
      </c>
      <c r="C51" s="9" t="s">
        <v>199</v>
      </c>
      <c r="D51" s="9" t="s">
        <v>206</v>
      </c>
      <c r="E51" s="10" t="s">
        <v>207</v>
      </c>
      <c r="F51" s="14">
        <v>39867</v>
      </c>
      <c r="G51" s="33" t="s">
        <v>606</v>
      </c>
      <c r="H51" t="s">
        <v>615</v>
      </c>
    </row>
    <row r="52" spans="1:8" x14ac:dyDescent="0.25">
      <c r="A52" s="4" t="s">
        <v>171</v>
      </c>
      <c r="B52" s="10" t="s">
        <v>172</v>
      </c>
      <c r="C52" s="9" t="s">
        <v>129</v>
      </c>
      <c r="D52" s="9" t="s">
        <v>130</v>
      </c>
      <c r="E52" s="10" t="s">
        <v>131</v>
      </c>
      <c r="F52" s="14">
        <v>39876</v>
      </c>
      <c r="G52" s="33" t="s">
        <v>608</v>
      </c>
      <c r="H52" t="s">
        <v>616</v>
      </c>
    </row>
    <row r="53" spans="1:8" x14ac:dyDescent="0.25">
      <c r="A53" s="4" t="s">
        <v>107</v>
      </c>
      <c r="B53" s="10" t="s">
        <v>108</v>
      </c>
      <c r="C53" s="10" t="s">
        <v>84</v>
      </c>
      <c r="D53" s="10" t="s">
        <v>87</v>
      </c>
      <c r="E53" s="10" t="s">
        <v>12</v>
      </c>
      <c r="F53" s="14">
        <v>39937</v>
      </c>
      <c r="G53" s="33" t="s">
        <v>608</v>
      </c>
      <c r="H53" t="s">
        <v>617</v>
      </c>
    </row>
    <row r="54" spans="1:8" x14ac:dyDescent="0.25">
      <c r="A54" s="4" t="s">
        <v>156</v>
      </c>
      <c r="B54" s="10" t="s">
        <v>157</v>
      </c>
      <c r="C54" s="9" t="s">
        <v>129</v>
      </c>
      <c r="D54" s="9" t="s">
        <v>130</v>
      </c>
      <c r="E54" s="10" t="s">
        <v>131</v>
      </c>
      <c r="F54" s="14">
        <v>39957</v>
      </c>
      <c r="G54" s="33" t="s">
        <v>608</v>
      </c>
      <c r="H54" t="s">
        <v>624</v>
      </c>
    </row>
    <row r="55" spans="1:8" x14ac:dyDescent="0.25">
      <c r="A55" s="4" t="s">
        <v>113</v>
      </c>
      <c r="B55" s="10" t="s">
        <v>114</v>
      </c>
      <c r="C55" s="10" t="s">
        <v>84</v>
      </c>
      <c r="D55" s="10" t="s">
        <v>92</v>
      </c>
      <c r="E55" s="10" t="s">
        <v>88</v>
      </c>
      <c r="F55" s="14">
        <v>39983</v>
      </c>
      <c r="G55" s="33" t="s">
        <v>606</v>
      </c>
      <c r="H55" t="s">
        <v>619</v>
      </c>
    </row>
    <row r="56" spans="1:8" x14ac:dyDescent="0.25">
      <c r="A56" s="4" t="s">
        <v>240</v>
      </c>
      <c r="B56" s="10" t="s">
        <v>241</v>
      </c>
      <c r="C56" s="9" t="s">
        <v>199</v>
      </c>
      <c r="D56" s="9" t="s">
        <v>206</v>
      </c>
      <c r="E56" s="10" t="s">
        <v>207</v>
      </c>
      <c r="F56" s="14">
        <v>39993</v>
      </c>
      <c r="G56" s="33" t="s">
        <v>608</v>
      </c>
      <c r="H56" t="s">
        <v>620</v>
      </c>
    </row>
    <row r="57" spans="1:8" x14ac:dyDescent="0.25">
      <c r="A57" s="4" t="s">
        <v>132</v>
      </c>
      <c r="B57" s="10" t="s">
        <v>133</v>
      </c>
      <c r="C57" s="9" t="s">
        <v>129</v>
      </c>
      <c r="D57" s="9" t="s">
        <v>130</v>
      </c>
      <c r="E57" s="10" t="s">
        <v>131</v>
      </c>
      <c r="F57" s="14">
        <v>40021</v>
      </c>
      <c r="G57" s="33" t="s">
        <v>608</v>
      </c>
      <c r="H57" t="s">
        <v>621</v>
      </c>
    </row>
    <row r="58" spans="1:8" x14ac:dyDescent="0.25">
      <c r="A58" s="4" t="s">
        <v>115</v>
      </c>
      <c r="B58" s="10" t="s">
        <v>116</v>
      </c>
      <c r="C58" s="9" t="s">
        <v>84</v>
      </c>
      <c r="D58" s="9" t="s">
        <v>86</v>
      </c>
      <c r="E58" s="10" t="s">
        <v>25</v>
      </c>
      <c r="F58" s="14">
        <v>40030</v>
      </c>
      <c r="G58" s="33" t="s">
        <v>606</v>
      </c>
      <c r="H58" t="s">
        <v>622</v>
      </c>
    </row>
    <row r="59" spans="1:8" x14ac:dyDescent="0.25">
      <c r="A59" s="4" t="s">
        <v>23</v>
      </c>
      <c r="B59" s="10" t="s">
        <v>24</v>
      </c>
      <c r="C59" s="9" t="s">
        <v>15</v>
      </c>
      <c r="D59" s="9" t="s">
        <v>19</v>
      </c>
      <c r="E59" s="10" t="s">
        <v>25</v>
      </c>
      <c r="F59" s="14">
        <v>40068</v>
      </c>
      <c r="G59" s="29" t="s">
        <v>606</v>
      </c>
      <c r="H59" t="s">
        <v>623</v>
      </c>
    </row>
    <row r="60" spans="1:8" x14ac:dyDescent="0.25">
      <c r="A60" s="4" t="s">
        <v>125</v>
      </c>
      <c r="B60" s="10" t="s">
        <v>126</v>
      </c>
      <c r="C60" s="9" t="s">
        <v>84</v>
      </c>
      <c r="D60" s="9" t="s">
        <v>121</v>
      </c>
      <c r="E60" s="10" t="s">
        <v>25</v>
      </c>
      <c r="F60" s="14">
        <v>40077</v>
      </c>
      <c r="G60" s="33" t="s">
        <v>608</v>
      </c>
      <c r="H60" t="s">
        <v>624</v>
      </c>
    </row>
    <row r="61" spans="1:8" x14ac:dyDescent="0.25">
      <c r="A61" s="4" t="s">
        <v>142</v>
      </c>
      <c r="B61" s="10" t="s">
        <v>143</v>
      </c>
      <c r="C61" s="9" t="s">
        <v>129</v>
      </c>
      <c r="D61" s="9" t="s">
        <v>136</v>
      </c>
      <c r="E61" s="10" t="s">
        <v>131</v>
      </c>
      <c r="F61" s="14">
        <v>40092</v>
      </c>
      <c r="G61" s="33" t="s">
        <v>608</v>
      </c>
      <c r="H61" t="s">
        <v>625</v>
      </c>
    </row>
    <row r="62" spans="1:8" x14ac:dyDescent="0.25">
      <c r="A62" s="4" t="s">
        <v>271</v>
      </c>
      <c r="B62" s="10" t="s">
        <v>272</v>
      </c>
      <c r="C62" s="9" t="s">
        <v>260</v>
      </c>
      <c r="D62" s="9" t="s">
        <v>270</v>
      </c>
      <c r="E62" s="10" t="s">
        <v>207</v>
      </c>
      <c r="F62" s="14">
        <v>40180</v>
      </c>
      <c r="G62" s="33" t="s">
        <v>608</v>
      </c>
      <c r="H62" t="s">
        <v>641</v>
      </c>
    </row>
    <row r="63" spans="1:8" x14ac:dyDescent="0.25">
      <c r="A63" s="4" t="s">
        <v>258</v>
      </c>
      <c r="B63" s="10" t="s">
        <v>259</v>
      </c>
      <c r="C63" s="9" t="s">
        <v>260</v>
      </c>
      <c r="D63" s="9" t="s">
        <v>261</v>
      </c>
      <c r="E63" s="10" t="s">
        <v>5</v>
      </c>
      <c r="F63" s="14">
        <v>40193</v>
      </c>
      <c r="G63" s="33" t="s">
        <v>608</v>
      </c>
      <c r="H63" t="s">
        <v>627</v>
      </c>
    </row>
    <row r="64" spans="1:8" x14ac:dyDescent="0.25">
      <c r="A64" s="4" t="s">
        <v>97</v>
      </c>
      <c r="B64" s="10" t="s">
        <v>98</v>
      </c>
      <c r="C64" s="10" t="s">
        <v>84</v>
      </c>
      <c r="D64" s="10" t="s">
        <v>87</v>
      </c>
      <c r="E64" s="10" t="s">
        <v>99</v>
      </c>
      <c r="F64" s="14">
        <v>40205</v>
      </c>
      <c r="G64" s="33" t="s">
        <v>607</v>
      </c>
      <c r="H64" t="s">
        <v>627</v>
      </c>
    </row>
    <row r="65" spans="1:8" x14ac:dyDescent="0.25">
      <c r="A65" s="4" t="s">
        <v>281</v>
      </c>
      <c r="B65" s="10" t="s">
        <v>282</v>
      </c>
      <c r="C65" s="9" t="s">
        <v>279</v>
      </c>
      <c r="D65" s="9" t="s">
        <v>280</v>
      </c>
      <c r="E65" s="10" t="s">
        <v>22</v>
      </c>
      <c r="F65" s="14">
        <v>40227</v>
      </c>
      <c r="G65" s="33" t="s">
        <v>608</v>
      </c>
      <c r="H65" t="s">
        <v>629</v>
      </c>
    </row>
    <row r="66" spans="1:8" x14ac:dyDescent="0.25">
      <c r="A66" s="4" t="s">
        <v>101</v>
      </c>
      <c r="B66" s="10" t="s">
        <v>102</v>
      </c>
      <c r="C66" s="10" t="s">
        <v>84</v>
      </c>
      <c r="D66" s="10" t="s">
        <v>85</v>
      </c>
      <c r="E66" s="10" t="s">
        <v>103</v>
      </c>
      <c r="F66" s="14">
        <v>40255</v>
      </c>
      <c r="G66" s="33" t="s">
        <v>608</v>
      </c>
      <c r="H66" t="s">
        <v>630</v>
      </c>
    </row>
    <row r="67" spans="1:8" x14ac:dyDescent="0.25">
      <c r="A67" s="4" t="s">
        <v>211</v>
      </c>
      <c r="B67" s="10" t="s">
        <v>212</v>
      </c>
      <c r="C67" s="9" t="s">
        <v>199</v>
      </c>
      <c r="D67" s="9" t="s">
        <v>210</v>
      </c>
      <c r="E67" s="10" t="s">
        <v>213</v>
      </c>
      <c r="F67" s="14">
        <v>40422</v>
      </c>
      <c r="G67" s="33" t="s">
        <v>608</v>
      </c>
      <c r="H67" t="s">
        <v>631</v>
      </c>
    </row>
    <row r="68" spans="1:8" x14ac:dyDescent="0.25">
      <c r="A68" s="4" t="s">
        <v>16</v>
      </c>
      <c r="B68" s="10" t="s">
        <v>17</v>
      </c>
      <c r="C68" s="9" t="s">
        <v>15</v>
      </c>
      <c r="D68" s="9" t="s">
        <v>18</v>
      </c>
      <c r="E68" s="10" t="s">
        <v>15</v>
      </c>
      <c r="F68" s="14">
        <v>40577</v>
      </c>
      <c r="G68" s="29" t="s">
        <v>608</v>
      </c>
      <c r="H68" t="s">
        <v>632</v>
      </c>
    </row>
    <row r="69" spans="1:8" x14ac:dyDescent="0.25">
      <c r="A69" s="4" t="s">
        <v>7</v>
      </c>
      <c r="B69" s="10" t="s">
        <v>8</v>
      </c>
      <c r="C69" s="9" t="s">
        <v>9</v>
      </c>
      <c r="D69" s="9" t="s">
        <v>10</v>
      </c>
      <c r="E69" s="10" t="s">
        <v>11</v>
      </c>
      <c r="F69" s="14">
        <v>41153</v>
      </c>
      <c r="G69" s="29" t="s">
        <v>607</v>
      </c>
      <c r="H69" t="s">
        <v>627</v>
      </c>
    </row>
    <row r="70" spans="1:8" x14ac:dyDescent="0.25">
      <c r="A70" s="4" t="s">
        <v>273</v>
      </c>
      <c r="B70" s="10" t="s">
        <v>274</v>
      </c>
      <c r="C70" s="9" t="s">
        <v>260</v>
      </c>
      <c r="D70" s="9" t="s">
        <v>262</v>
      </c>
      <c r="E70" s="10" t="s">
        <v>5</v>
      </c>
      <c r="F70" s="14">
        <v>41365</v>
      </c>
      <c r="G70" s="33" t="s">
        <v>608</v>
      </c>
      <c r="H70" t="s">
        <v>633</v>
      </c>
    </row>
    <row r="71" spans="1:8" x14ac:dyDescent="0.25">
      <c r="A71" s="4" t="s">
        <v>26</v>
      </c>
      <c r="B71" s="10" t="s">
        <v>27</v>
      </c>
      <c r="C71" s="9" t="s">
        <v>28</v>
      </c>
      <c r="D71" s="9" t="s">
        <v>29</v>
      </c>
      <c r="E71" s="10" t="s">
        <v>30</v>
      </c>
      <c r="F71" s="14" t="s">
        <v>298</v>
      </c>
      <c r="G71" s="25"/>
      <c r="H71" t="s">
        <v>634</v>
      </c>
    </row>
    <row r="72" spans="1:8" x14ac:dyDescent="0.25">
      <c r="A72" s="4" t="s">
        <v>43</v>
      </c>
      <c r="B72" s="10" t="s">
        <v>44</v>
      </c>
      <c r="C72" s="9" t="s">
        <v>40</v>
      </c>
      <c r="D72" s="9" t="s">
        <v>41</v>
      </c>
      <c r="E72" s="10" t="s">
        <v>42</v>
      </c>
      <c r="F72" s="14" t="s">
        <v>298</v>
      </c>
      <c r="G72" s="25"/>
      <c r="H72" t="s">
        <v>635</v>
      </c>
    </row>
    <row r="73" spans="1:8" x14ac:dyDescent="0.25">
      <c r="A73" s="4" t="s">
        <v>71</v>
      </c>
      <c r="B73" s="10" t="s">
        <v>72</v>
      </c>
      <c r="C73" s="9" t="s">
        <v>48</v>
      </c>
      <c r="D73" s="9" t="s">
        <v>49</v>
      </c>
      <c r="E73" s="10" t="s">
        <v>50</v>
      </c>
      <c r="F73" s="14" t="s">
        <v>298</v>
      </c>
      <c r="G73" s="25"/>
      <c r="H73" t="s">
        <v>636</v>
      </c>
    </row>
    <row r="74" spans="1:8" x14ac:dyDescent="0.25">
      <c r="A74" s="4" t="s">
        <v>187</v>
      </c>
      <c r="B74" s="10" t="s">
        <v>188</v>
      </c>
      <c r="C74" s="9" t="s">
        <v>185</v>
      </c>
      <c r="D74" s="9" t="s">
        <v>186</v>
      </c>
      <c r="E74" s="10" t="s">
        <v>25</v>
      </c>
      <c r="F74" s="14" t="s">
        <v>298</v>
      </c>
      <c r="G74" s="25"/>
      <c r="H74" t="s">
        <v>637</v>
      </c>
    </row>
    <row r="75" spans="1:8" x14ac:dyDescent="0.25">
      <c r="A75" s="4" t="s">
        <v>193</v>
      </c>
      <c r="B75" s="10" t="s">
        <v>194</v>
      </c>
      <c r="C75" s="9" t="s">
        <v>185</v>
      </c>
      <c r="D75" s="9" t="s">
        <v>186</v>
      </c>
      <c r="E75" s="10" t="s">
        <v>195</v>
      </c>
      <c r="F75" s="14" t="s">
        <v>298</v>
      </c>
      <c r="G75" s="25"/>
      <c r="H75" t="s">
        <v>638</v>
      </c>
    </row>
    <row r="76" spans="1:8" x14ac:dyDescent="0.25">
      <c r="A76" s="4" t="s">
        <v>221</v>
      </c>
      <c r="B76" s="10" t="s">
        <v>222</v>
      </c>
      <c r="C76" s="9" t="s">
        <v>199</v>
      </c>
      <c r="D76" s="9" t="s">
        <v>206</v>
      </c>
      <c r="E76" s="10" t="s">
        <v>207</v>
      </c>
      <c r="F76" s="14" t="s">
        <v>298</v>
      </c>
      <c r="G76" s="25"/>
      <c r="H76" t="s">
        <v>624</v>
      </c>
    </row>
    <row r="77" spans="1:8" x14ac:dyDescent="0.25">
      <c r="A77" s="4" t="s">
        <v>208</v>
      </c>
      <c r="B77" s="10" t="s">
        <v>209</v>
      </c>
      <c r="C77" s="9" t="s">
        <v>199</v>
      </c>
      <c r="D77" s="9" t="s">
        <v>210</v>
      </c>
      <c r="E77" s="10" t="s">
        <v>22</v>
      </c>
      <c r="F77" s="14" t="s">
        <v>298</v>
      </c>
      <c r="G77" s="25"/>
      <c r="H77" t="s">
        <v>639</v>
      </c>
    </row>
    <row r="78" spans="1:8" x14ac:dyDescent="0.25">
      <c r="A78" s="4" t="s">
        <v>214</v>
      </c>
      <c r="B78" s="10" t="s">
        <v>215</v>
      </c>
      <c r="C78" s="9" t="s">
        <v>199</v>
      </c>
      <c r="D78" s="9" t="s">
        <v>216</v>
      </c>
      <c r="E78" s="10" t="s">
        <v>207</v>
      </c>
      <c r="F78" s="14" t="s">
        <v>298</v>
      </c>
      <c r="G78" s="25"/>
      <c r="H78" t="s">
        <v>641</v>
      </c>
    </row>
    <row r="79" spans="1:8" x14ac:dyDescent="0.25">
      <c r="A79" s="4" t="s">
        <v>250</v>
      </c>
      <c r="B79" s="10" t="s">
        <v>251</v>
      </c>
      <c r="C79" s="9" t="s">
        <v>245</v>
      </c>
      <c r="D79" s="9" t="s">
        <v>252</v>
      </c>
      <c r="E79" s="10" t="s">
        <v>247</v>
      </c>
      <c r="F79" s="14" t="s">
        <v>298</v>
      </c>
      <c r="H79" t="s">
        <v>643</v>
      </c>
    </row>
    <row r="80" spans="1:8" x14ac:dyDescent="0.25">
      <c r="A80" s="4" t="s">
        <v>248</v>
      </c>
      <c r="B80" s="10" t="s">
        <v>249</v>
      </c>
      <c r="C80" s="9" t="s">
        <v>245</v>
      </c>
      <c r="D80" s="9" t="s">
        <v>246</v>
      </c>
      <c r="E80" s="10" t="s">
        <v>207</v>
      </c>
      <c r="F80" s="14" t="s">
        <v>298</v>
      </c>
      <c r="H80" t="s">
        <v>642</v>
      </c>
    </row>
  </sheetData>
  <autoFilter ref="A1:H80" xr:uid="{70D7D270-019B-473F-9423-6C94E3A03707}">
    <sortState xmlns:xlrd2="http://schemas.microsoft.com/office/spreadsheetml/2017/richdata2" ref="A2:H80">
      <sortCondition ref="F1:F80"/>
    </sortState>
  </autoFilter>
  <sortState xmlns:xlrd2="http://schemas.microsoft.com/office/spreadsheetml/2017/richdata2" ref="A11:F81">
    <sortCondition ref="F2:F8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4A1A-DD9D-475B-BC42-7E3AB0AED5C6}">
  <dimension ref="A1:F80"/>
  <sheetViews>
    <sheetView workbookViewId="0">
      <selection activeCell="G1" sqref="G1:G1048576"/>
    </sheetView>
  </sheetViews>
  <sheetFormatPr defaultRowHeight="15" x14ac:dyDescent="0.25"/>
  <cols>
    <col min="1" max="1" width="9.28515625" bestFit="1" customWidth="1"/>
    <col min="2" max="2" width="100.7109375" customWidth="1"/>
    <col min="3" max="3" width="18.5703125" bestFit="1" customWidth="1"/>
    <col min="4" max="4" width="18.28515625" bestFit="1" customWidth="1"/>
    <col min="5" max="5" width="13.7109375" customWidth="1"/>
    <col min="6" max="6" width="10.5703125" style="14" bestFit="1" customWidth="1"/>
  </cols>
  <sheetData>
    <row r="1" spans="1:6" ht="60.75" thickBot="1" x14ac:dyDescent="0.3">
      <c r="A1" s="1" t="s">
        <v>0</v>
      </c>
      <c r="B1" s="2" t="s">
        <v>1</v>
      </c>
      <c r="C1" s="2" t="s">
        <v>284</v>
      </c>
      <c r="D1" s="2" t="s">
        <v>285</v>
      </c>
      <c r="E1" s="15" t="s">
        <v>297</v>
      </c>
      <c r="F1" s="28" t="s">
        <v>294</v>
      </c>
    </row>
    <row r="2" spans="1:6" x14ac:dyDescent="0.25">
      <c r="A2" s="4" t="s">
        <v>7</v>
      </c>
      <c r="B2" s="5" t="s">
        <v>8</v>
      </c>
      <c r="C2">
        <v>580</v>
      </c>
      <c r="D2">
        <v>0</v>
      </c>
      <c r="E2">
        <v>0</v>
      </c>
      <c r="F2" s="14">
        <v>40380</v>
      </c>
    </row>
    <row r="3" spans="1:6" x14ac:dyDescent="0.25">
      <c r="A3" s="4" t="s">
        <v>13</v>
      </c>
      <c r="B3" s="10" t="s">
        <v>14</v>
      </c>
      <c r="C3">
        <v>117</v>
      </c>
      <c r="D3">
        <v>0</v>
      </c>
      <c r="E3">
        <v>200</v>
      </c>
      <c r="F3" s="14">
        <v>40268</v>
      </c>
    </row>
    <row r="4" spans="1:6" x14ac:dyDescent="0.25">
      <c r="A4" s="4" t="s">
        <v>16</v>
      </c>
      <c r="B4" s="10" t="s">
        <v>17</v>
      </c>
      <c r="C4">
        <v>83</v>
      </c>
      <c r="D4">
        <v>23</v>
      </c>
      <c r="E4">
        <v>0</v>
      </c>
      <c r="F4" s="14">
        <v>40360</v>
      </c>
    </row>
    <row r="5" spans="1:6" x14ac:dyDescent="0.25">
      <c r="A5" s="4" t="s">
        <v>20</v>
      </c>
      <c r="B5" s="10" t="s">
        <v>21</v>
      </c>
      <c r="C5">
        <v>240000</v>
      </c>
      <c r="D5">
        <v>112000</v>
      </c>
      <c r="E5">
        <v>200000</v>
      </c>
      <c r="F5" s="14">
        <v>40330</v>
      </c>
    </row>
    <row r="6" spans="1:6" x14ac:dyDescent="0.25">
      <c r="A6" s="4" t="s">
        <v>23</v>
      </c>
      <c r="B6" s="10" t="s">
        <v>24</v>
      </c>
      <c r="C6">
        <v>215</v>
      </c>
      <c r="D6">
        <v>0</v>
      </c>
      <c r="E6">
        <v>215</v>
      </c>
      <c r="F6" s="14">
        <v>40268</v>
      </c>
    </row>
    <row r="7" spans="1:6" x14ac:dyDescent="0.25">
      <c r="A7" s="4" t="s">
        <v>26</v>
      </c>
      <c r="B7" s="10" t="s">
        <v>27</v>
      </c>
      <c r="C7">
        <v>923</v>
      </c>
      <c r="D7">
        <v>0</v>
      </c>
      <c r="E7">
        <v>9</v>
      </c>
      <c r="F7" s="14">
        <v>40382</v>
      </c>
    </row>
    <row r="8" spans="1:6" x14ac:dyDescent="0.25">
      <c r="A8" s="4" t="s">
        <v>35</v>
      </c>
      <c r="B8" s="10" t="s">
        <v>36</v>
      </c>
      <c r="C8">
        <v>61187</v>
      </c>
      <c r="D8">
        <v>1907</v>
      </c>
      <c r="E8">
        <v>13564</v>
      </c>
      <c r="F8" s="14">
        <v>40330</v>
      </c>
    </row>
    <row r="9" spans="1:6" x14ac:dyDescent="0.25">
      <c r="A9" s="4" t="s">
        <v>37</v>
      </c>
      <c r="B9" s="10" t="s">
        <v>39</v>
      </c>
      <c r="C9">
        <v>67304</v>
      </c>
      <c r="D9">
        <v>1150</v>
      </c>
      <c r="E9">
        <v>55304</v>
      </c>
      <c r="F9" s="14">
        <v>40378</v>
      </c>
    </row>
    <row r="10" spans="1:6" x14ac:dyDescent="0.25">
      <c r="A10" s="4" t="s">
        <v>43</v>
      </c>
      <c r="B10" s="10" t="s">
        <v>46</v>
      </c>
      <c r="C10">
        <v>710</v>
      </c>
      <c r="D10">
        <v>0</v>
      </c>
      <c r="E10">
        <v>0</v>
      </c>
      <c r="F10" s="14">
        <v>40359</v>
      </c>
    </row>
    <row r="11" spans="1:6" x14ac:dyDescent="0.25">
      <c r="A11" s="4" t="s">
        <v>45</v>
      </c>
      <c r="B11" s="10" t="s">
        <v>47</v>
      </c>
      <c r="C11">
        <v>2510</v>
      </c>
      <c r="D11">
        <v>141</v>
      </c>
      <c r="E11">
        <v>1892</v>
      </c>
      <c r="F11" s="14">
        <v>40352</v>
      </c>
    </row>
    <row r="12" spans="1:6" x14ac:dyDescent="0.25">
      <c r="A12" s="4" t="s">
        <v>51</v>
      </c>
      <c r="B12" s="10" t="s">
        <v>56</v>
      </c>
      <c r="C12">
        <v>428</v>
      </c>
      <c r="D12">
        <v>41</v>
      </c>
      <c r="E12">
        <v>384</v>
      </c>
      <c r="F12" s="14">
        <v>40359</v>
      </c>
    </row>
    <row r="13" spans="1:6" x14ac:dyDescent="0.25">
      <c r="A13" s="4" t="s">
        <v>55</v>
      </c>
      <c r="B13" s="10" t="s">
        <v>57</v>
      </c>
      <c r="C13">
        <v>33827</v>
      </c>
      <c r="D13">
        <v>0</v>
      </c>
      <c r="E13">
        <v>3151</v>
      </c>
      <c r="F13" s="14">
        <v>40367</v>
      </c>
    </row>
    <row r="14" spans="1:6" x14ac:dyDescent="0.25">
      <c r="A14" s="4" t="s">
        <v>61</v>
      </c>
      <c r="B14" s="10" t="s">
        <v>66</v>
      </c>
      <c r="C14">
        <v>3400</v>
      </c>
      <c r="D14">
        <v>0</v>
      </c>
      <c r="E14">
        <v>2154</v>
      </c>
      <c r="F14" s="14">
        <v>40333</v>
      </c>
    </row>
    <row r="15" spans="1:6" x14ac:dyDescent="0.25">
      <c r="A15" s="4" t="s">
        <v>63</v>
      </c>
      <c r="B15" s="10" t="s">
        <v>68</v>
      </c>
      <c r="C15">
        <v>2211</v>
      </c>
      <c r="D15">
        <v>0</v>
      </c>
      <c r="E15">
        <v>2211</v>
      </c>
      <c r="F15" s="14">
        <v>40366</v>
      </c>
    </row>
    <row r="16" spans="1:6" x14ac:dyDescent="0.25">
      <c r="A16" s="4" t="s">
        <v>67</v>
      </c>
      <c r="B16" s="10" t="s">
        <v>72</v>
      </c>
      <c r="C16">
        <v>967</v>
      </c>
      <c r="D16">
        <v>84</v>
      </c>
      <c r="E16">
        <v>639</v>
      </c>
      <c r="F16" s="14">
        <v>40360</v>
      </c>
    </row>
    <row r="17" spans="1:6" x14ac:dyDescent="0.25">
      <c r="A17" s="4" t="s">
        <v>69</v>
      </c>
      <c r="B17" s="10" t="s">
        <v>74</v>
      </c>
      <c r="C17">
        <v>3131</v>
      </c>
      <c r="D17">
        <v>1500</v>
      </c>
      <c r="E17">
        <v>1631</v>
      </c>
      <c r="F17" s="14">
        <v>40359</v>
      </c>
    </row>
    <row r="18" spans="1:6" x14ac:dyDescent="0.25">
      <c r="A18" s="4" t="s">
        <v>71</v>
      </c>
      <c r="B18" s="10" t="s">
        <v>76</v>
      </c>
      <c r="C18">
        <v>751</v>
      </c>
      <c r="D18">
        <v>0</v>
      </c>
      <c r="E18">
        <v>0</v>
      </c>
      <c r="F18" s="14">
        <v>40364</v>
      </c>
    </row>
    <row r="19" spans="1:6" x14ac:dyDescent="0.25">
      <c r="A19" s="4" t="s">
        <v>75</v>
      </c>
      <c r="B19" s="10" t="s">
        <v>82</v>
      </c>
      <c r="C19">
        <v>3143</v>
      </c>
      <c r="D19">
        <v>0</v>
      </c>
      <c r="E19">
        <v>1125</v>
      </c>
      <c r="F19" s="14">
        <v>40338</v>
      </c>
    </row>
    <row r="20" spans="1:6" x14ac:dyDescent="0.25">
      <c r="A20" s="4" t="s">
        <v>78</v>
      </c>
      <c r="B20" s="10" t="s">
        <v>91</v>
      </c>
      <c r="C20">
        <v>169000</v>
      </c>
      <c r="D20">
        <v>3900</v>
      </c>
      <c r="E20">
        <v>1200</v>
      </c>
      <c r="F20" s="14">
        <v>40398</v>
      </c>
    </row>
    <row r="21" spans="1:6" x14ac:dyDescent="0.25">
      <c r="A21" s="4" t="s">
        <v>80</v>
      </c>
      <c r="B21" s="10" t="s">
        <v>94</v>
      </c>
      <c r="C21">
        <v>10346</v>
      </c>
      <c r="D21">
        <v>6662</v>
      </c>
      <c r="E21">
        <v>6127</v>
      </c>
      <c r="F21" s="14">
        <v>40364</v>
      </c>
    </row>
    <row r="22" spans="1:6" x14ac:dyDescent="0.25">
      <c r="A22" s="4" t="s">
        <v>90</v>
      </c>
      <c r="B22" s="10" t="s">
        <v>106</v>
      </c>
      <c r="C22">
        <v>13611.486536873146</v>
      </c>
      <c r="D22">
        <v>0</v>
      </c>
      <c r="E22">
        <v>2995.5309999999999</v>
      </c>
      <c r="F22" s="14">
        <v>40357</v>
      </c>
    </row>
    <row r="23" spans="1:6" x14ac:dyDescent="0.25">
      <c r="A23" s="4" t="s">
        <v>93</v>
      </c>
      <c r="B23" s="10" t="s">
        <v>108</v>
      </c>
      <c r="C23">
        <v>792044</v>
      </c>
      <c r="D23">
        <v>25752</v>
      </c>
      <c r="E23">
        <v>291000</v>
      </c>
      <c r="F23" s="14">
        <v>40268</v>
      </c>
    </row>
    <row r="24" spans="1:6" x14ac:dyDescent="0.25">
      <c r="A24" s="4" t="s">
        <v>97</v>
      </c>
      <c r="B24" s="10" t="s">
        <v>112</v>
      </c>
      <c r="C24">
        <v>13535.84386235513</v>
      </c>
      <c r="D24">
        <v>5000</v>
      </c>
      <c r="E24">
        <v>2470</v>
      </c>
      <c r="F24" s="14">
        <v>40268</v>
      </c>
    </row>
    <row r="25" spans="1:6" x14ac:dyDescent="0.25">
      <c r="A25" s="4" t="s">
        <v>101</v>
      </c>
      <c r="B25" s="10" t="s">
        <v>114</v>
      </c>
      <c r="C25">
        <v>2700000</v>
      </c>
      <c r="D25">
        <v>98860</v>
      </c>
      <c r="E25">
        <v>108840</v>
      </c>
      <c r="F25" s="14">
        <v>40339</v>
      </c>
    </row>
    <row r="26" spans="1:6" x14ac:dyDescent="0.25">
      <c r="A26" s="4" t="s">
        <v>104</v>
      </c>
      <c r="B26" s="10" t="s">
        <v>122</v>
      </c>
      <c r="C26">
        <v>23699</v>
      </c>
      <c r="D26">
        <v>0</v>
      </c>
      <c r="E26">
        <v>24713</v>
      </c>
      <c r="F26" s="14">
        <v>40090</v>
      </c>
    </row>
    <row r="27" spans="1:6" x14ac:dyDescent="0.25">
      <c r="A27" s="4" t="s">
        <v>107</v>
      </c>
      <c r="B27" s="10" t="s">
        <v>123</v>
      </c>
      <c r="C27">
        <v>222509.3891819886</v>
      </c>
      <c r="D27">
        <v>91230</v>
      </c>
      <c r="E27">
        <v>22095</v>
      </c>
      <c r="F27" s="14">
        <v>39899</v>
      </c>
    </row>
    <row r="28" spans="1:6" x14ac:dyDescent="0.25">
      <c r="A28" s="4" t="s">
        <v>109</v>
      </c>
      <c r="B28" s="10" t="s">
        <v>124</v>
      </c>
      <c r="C28">
        <v>2123</v>
      </c>
      <c r="D28">
        <v>0</v>
      </c>
      <c r="E28">
        <v>2008</v>
      </c>
      <c r="F28" s="14">
        <v>40268</v>
      </c>
    </row>
    <row r="29" spans="1:6" x14ac:dyDescent="0.25">
      <c r="A29" s="4" t="s">
        <v>113</v>
      </c>
      <c r="B29" s="10" t="s">
        <v>133</v>
      </c>
      <c r="C29">
        <v>930424.91589070088</v>
      </c>
      <c r="D29">
        <v>0</v>
      </c>
      <c r="E29">
        <v>105634.55398184723</v>
      </c>
      <c r="F29" s="14">
        <v>40329</v>
      </c>
    </row>
    <row r="30" spans="1:6" x14ac:dyDescent="0.25">
      <c r="A30" s="4" t="s">
        <v>115</v>
      </c>
      <c r="B30" s="10" t="s">
        <v>135</v>
      </c>
      <c r="C30">
        <v>85000</v>
      </c>
      <c r="D30">
        <v>41387</v>
      </c>
      <c r="E30">
        <v>15</v>
      </c>
      <c r="F30" s="14">
        <v>40328</v>
      </c>
    </row>
    <row r="31" spans="1:6" x14ac:dyDescent="0.25">
      <c r="A31" s="4" t="s">
        <v>117</v>
      </c>
      <c r="B31" s="10" t="s">
        <v>138</v>
      </c>
      <c r="C31">
        <v>124177.73785771684</v>
      </c>
      <c r="D31">
        <v>0</v>
      </c>
      <c r="E31">
        <v>80162</v>
      </c>
      <c r="F31" s="14">
        <v>40339</v>
      </c>
    </row>
    <row r="32" spans="1:6" x14ac:dyDescent="0.25">
      <c r="A32" s="4" t="s">
        <v>119</v>
      </c>
      <c r="B32" s="10" t="s">
        <v>139</v>
      </c>
      <c r="C32">
        <v>43560.578098559126</v>
      </c>
      <c r="D32">
        <v>82</v>
      </c>
      <c r="E32">
        <v>20205</v>
      </c>
      <c r="F32" s="14">
        <v>40330</v>
      </c>
    </row>
    <row r="33" spans="1:6" x14ac:dyDescent="0.25">
      <c r="A33" s="4" t="s">
        <v>125</v>
      </c>
      <c r="B33" s="10" t="s">
        <v>149</v>
      </c>
      <c r="C33">
        <v>4891</v>
      </c>
      <c r="D33">
        <v>0</v>
      </c>
      <c r="E33">
        <v>6235</v>
      </c>
      <c r="F33" s="14">
        <v>40268</v>
      </c>
    </row>
    <row r="34" spans="1:6" x14ac:dyDescent="0.25">
      <c r="A34" s="4" t="s">
        <v>127</v>
      </c>
      <c r="B34" s="10" t="s">
        <v>150</v>
      </c>
      <c r="C34">
        <v>23086</v>
      </c>
      <c r="D34">
        <v>0</v>
      </c>
      <c r="E34">
        <v>274</v>
      </c>
      <c r="F34" s="14">
        <v>40268</v>
      </c>
    </row>
    <row r="35" spans="1:6" x14ac:dyDescent="0.25">
      <c r="A35" s="4" t="s">
        <v>132</v>
      </c>
      <c r="B35" s="10" t="s">
        <v>151</v>
      </c>
      <c r="C35">
        <v>6780</v>
      </c>
      <c r="D35">
        <v>0</v>
      </c>
      <c r="E35">
        <v>2361</v>
      </c>
      <c r="F35" s="14">
        <v>40329</v>
      </c>
    </row>
    <row r="36" spans="1:6" x14ac:dyDescent="0.25">
      <c r="A36" s="4" t="s">
        <v>134</v>
      </c>
      <c r="B36" s="10" t="s">
        <v>155</v>
      </c>
      <c r="C36">
        <v>103490</v>
      </c>
      <c r="D36">
        <v>25525</v>
      </c>
      <c r="E36">
        <v>12020</v>
      </c>
      <c r="F36" s="14">
        <v>40359</v>
      </c>
    </row>
    <row r="37" spans="1:6" x14ac:dyDescent="0.25">
      <c r="A37" s="4" t="s">
        <v>137</v>
      </c>
      <c r="B37" s="10" t="s">
        <v>159</v>
      </c>
      <c r="C37">
        <v>236987</v>
      </c>
      <c r="D37">
        <v>0</v>
      </c>
      <c r="E37">
        <v>319873</v>
      </c>
      <c r="F37" s="14">
        <v>40268</v>
      </c>
    </row>
    <row r="38" spans="1:6" x14ac:dyDescent="0.25">
      <c r="A38" s="4" t="s">
        <v>140</v>
      </c>
      <c r="B38" s="10" t="s">
        <v>163</v>
      </c>
      <c r="C38">
        <v>114002</v>
      </c>
      <c r="D38">
        <v>0</v>
      </c>
      <c r="E38">
        <v>109622</v>
      </c>
      <c r="F38" s="14">
        <v>40268</v>
      </c>
    </row>
    <row r="39" spans="1:6" x14ac:dyDescent="0.25">
      <c r="A39" s="4" t="s">
        <v>142</v>
      </c>
      <c r="B39" s="10" t="s">
        <v>164</v>
      </c>
      <c r="C39">
        <v>1652</v>
      </c>
      <c r="D39">
        <v>1617</v>
      </c>
      <c r="E39">
        <v>200</v>
      </c>
      <c r="F39" s="14">
        <v>40183</v>
      </c>
    </row>
    <row r="40" spans="1:6" x14ac:dyDescent="0.25">
      <c r="A40" s="4" t="s">
        <v>144</v>
      </c>
      <c r="B40" s="10" t="s">
        <v>167</v>
      </c>
      <c r="C40">
        <v>584497</v>
      </c>
      <c r="D40">
        <v>0</v>
      </c>
      <c r="E40">
        <v>588252</v>
      </c>
      <c r="F40" s="14">
        <v>40268</v>
      </c>
    </row>
    <row r="41" spans="1:6" x14ac:dyDescent="0.25">
      <c r="A41" s="4" t="s">
        <v>146</v>
      </c>
      <c r="B41" s="10" t="s">
        <v>168</v>
      </c>
      <c r="C41">
        <v>623514</v>
      </c>
      <c r="D41">
        <v>0</v>
      </c>
      <c r="E41">
        <v>622329</v>
      </c>
      <c r="F41" s="14">
        <v>40129</v>
      </c>
    </row>
    <row r="42" spans="1:6" x14ac:dyDescent="0.25">
      <c r="A42" s="4" t="s">
        <v>152</v>
      </c>
      <c r="B42" s="10" t="s">
        <v>174</v>
      </c>
      <c r="C42">
        <v>21200</v>
      </c>
      <c r="D42">
        <v>5200</v>
      </c>
      <c r="E42">
        <v>16253</v>
      </c>
      <c r="F42" s="14">
        <v>40268</v>
      </c>
    </row>
    <row r="43" spans="1:6" x14ac:dyDescent="0.25">
      <c r="A43" s="4" t="s">
        <v>154</v>
      </c>
      <c r="B43" s="10" t="s">
        <v>179</v>
      </c>
      <c r="C43">
        <v>68456</v>
      </c>
      <c r="D43">
        <v>23658</v>
      </c>
      <c r="E43">
        <v>15413</v>
      </c>
      <c r="F43" s="14">
        <v>39295</v>
      </c>
    </row>
    <row r="44" spans="1:6" x14ac:dyDescent="0.25">
      <c r="A44" s="4" t="s">
        <v>156</v>
      </c>
      <c r="B44" s="10" t="s">
        <v>181</v>
      </c>
      <c r="C44">
        <v>369</v>
      </c>
      <c r="D44">
        <v>105</v>
      </c>
      <c r="E44">
        <v>116</v>
      </c>
      <c r="F44" s="14">
        <v>40268</v>
      </c>
    </row>
    <row r="45" spans="1:6" x14ac:dyDescent="0.25">
      <c r="A45" s="4" t="s">
        <v>158</v>
      </c>
      <c r="B45" s="10" t="s">
        <v>183</v>
      </c>
      <c r="C45">
        <v>2236</v>
      </c>
      <c r="D45">
        <v>0</v>
      </c>
      <c r="E45">
        <v>1123</v>
      </c>
      <c r="F45" s="14">
        <v>40268</v>
      </c>
    </row>
    <row r="46" spans="1:6" x14ac:dyDescent="0.25">
      <c r="A46" s="4" t="s">
        <v>161</v>
      </c>
      <c r="B46" s="10" t="s">
        <v>184</v>
      </c>
      <c r="C46">
        <v>1136759</v>
      </c>
      <c r="D46">
        <v>2039</v>
      </c>
      <c r="E46">
        <v>807974</v>
      </c>
      <c r="F46" s="14">
        <v>40268</v>
      </c>
    </row>
    <row r="47" spans="1:6" x14ac:dyDescent="0.25">
      <c r="A47" s="4" t="s">
        <v>165</v>
      </c>
      <c r="B47" s="10" t="s">
        <v>190</v>
      </c>
      <c r="C47">
        <v>64243</v>
      </c>
      <c r="D47">
        <v>8000</v>
      </c>
      <c r="E47">
        <v>29287</v>
      </c>
      <c r="F47" s="14">
        <v>39956</v>
      </c>
    </row>
    <row r="48" spans="1:6" x14ac:dyDescent="0.25">
      <c r="A48" s="4" t="s">
        <v>169</v>
      </c>
      <c r="B48" s="10" t="s">
        <v>191</v>
      </c>
      <c r="C48">
        <v>1064772</v>
      </c>
      <c r="D48">
        <v>1679</v>
      </c>
      <c r="E48">
        <v>863072</v>
      </c>
      <c r="F48" s="14">
        <v>40268</v>
      </c>
    </row>
    <row r="49" spans="1:6" x14ac:dyDescent="0.25">
      <c r="A49" s="4" t="s">
        <v>171</v>
      </c>
      <c r="B49" s="10" t="s">
        <v>192</v>
      </c>
      <c r="C49">
        <v>2525</v>
      </c>
      <c r="D49">
        <v>1112</v>
      </c>
      <c r="E49">
        <v>236</v>
      </c>
      <c r="F49" s="14">
        <v>40359</v>
      </c>
    </row>
    <row r="50" spans="1:6" x14ac:dyDescent="0.25">
      <c r="A50" s="4" t="s">
        <v>173</v>
      </c>
      <c r="B50" s="10" t="s">
        <v>196</v>
      </c>
      <c r="C50">
        <v>357000</v>
      </c>
      <c r="D50">
        <v>49</v>
      </c>
      <c r="E50">
        <v>338000</v>
      </c>
      <c r="F50" s="14">
        <v>40268</v>
      </c>
    </row>
    <row r="51" spans="1:6" x14ac:dyDescent="0.25">
      <c r="A51" s="4" t="s">
        <v>178</v>
      </c>
      <c r="B51" s="10" t="s">
        <v>197</v>
      </c>
      <c r="C51">
        <v>14520</v>
      </c>
      <c r="D51">
        <v>907</v>
      </c>
      <c r="E51">
        <v>265</v>
      </c>
      <c r="F51" s="14">
        <v>40268</v>
      </c>
    </row>
    <row r="52" spans="1:6" x14ac:dyDescent="0.25">
      <c r="A52" s="4" t="s">
        <v>180</v>
      </c>
      <c r="B52" s="10" t="s">
        <v>198</v>
      </c>
      <c r="C52">
        <v>2044</v>
      </c>
      <c r="D52">
        <v>0</v>
      </c>
      <c r="E52">
        <v>1672</v>
      </c>
      <c r="F52" s="14">
        <v>40330</v>
      </c>
    </row>
    <row r="53" spans="1:6" x14ac:dyDescent="0.25">
      <c r="A53" s="4" t="s">
        <v>187</v>
      </c>
      <c r="B53" s="10" t="s">
        <v>201</v>
      </c>
      <c r="C53">
        <v>1256</v>
      </c>
      <c r="D53">
        <v>0</v>
      </c>
      <c r="E53">
        <v>0</v>
      </c>
      <c r="F53" s="14">
        <v>40360</v>
      </c>
    </row>
    <row r="54" spans="1:6" x14ac:dyDescent="0.25">
      <c r="A54" s="4" t="s">
        <v>189</v>
      </c>
      <c r="B54" s="10" t="s">
        <v>203</v>
      </c>
      <c r="C54">
        <v>105000</v>
      </c>
      <c r="D54">
        <v>1700</v>
      </c>
      <c r="E54">
        <v>70000</v>
      </c>
      <c r="F54" s="14">
        <v>40330</v>
      </c>
    </row>
    <row r="55" spans="1:6" x14ac:dyDescent="0.25">
      <c r="A55" s="4" t="s">
        <v>193</v>
      </c>
      <c r="B55" s="10" t="s">
        <v>209</v>
      </c>
      <c r="C55">
        <v>1267</v>
      </c>
      <c r="D55">
        <v>0</v>
      </c>
      <c r="E55">
        <v>0</v>
      </c>
      <c r="F55" s="14">
        <v>40360</v>
      </c>
    </row>
    <row r="56" spans="1:6" x14ac:dyDescent="0.25">
      <c r="A56" s="4" t="s">
        <v>202</v>
      </c>
      <c r="B56" s="10" t="s">
        <v>225</v>
      </c>
      <c r="C56">
        <v>176000</v>
      </c>
      <c r="D56">
        <v>260</v>
      </c>
      <c r="E56">
        <v>42163</v>
      </c>
      <c r="F56" s="14">
        <v>40268</v>
      </c>
    </row>
    <row r="57" spans="1:6" x14ac:dyDescent="0.25">
      <c r="A57" s="4" t="s">
        <v>204</v>
      </c>
      <c r="B57" s="10" t="s">
        <v>228</v>
      </c>
      <c r="C57">
        <v>10824</v>
      </c>
      <c r="D57">
        <v>0</v>
      </c>
      <c r="E57">
        <v>4830</v>
      </c>
      <c r="F57" s="14">
        <v>40338</v>
      </c>
    </row>
    <row r="58" spans="1:6" x14ac:dyDescent="0.25">
      <c r="A58" s="4" t="s">
        <v>208</v>
      </c>
      <c r="B58" s="10" t="s">
        <v>229</v>
      </c>
      <c r="C58">
        <v>984</v>
      </c>
      <c r="D58">
        <v>0</v>
      </c>
      <c r="E58">
        <v>0</v>
      </c>
      <c r="F58" s="14">
        <v>40268</v>
      </c>
    </row>
    <row r="59" spans="1:6" x14ac:dyDescent="0.25">
      <c r="A59" s="4" t="s">
        <v>211</v>
      </c>
      <c r="B59" s="10" t="s">
        <v>231</v>
      </c>
      <c r="C59">
        <v>27</v>
      </c>
      <c r="D59">
        <v>27</v>
      </c>
      <c r="E59">
        <v>0</v>
      </c>
      <c r="F59" s="14">
        <v>40268</v>
      </c>
    </row>
    <row r="60" spans="1:6" x14ac:dyDescent="0.25">
      <c r="A60" s="4" t="s">
        <v>214</v>
      </c>
      <c r="B60" s="10" t="s">
        <v>234</v>
      </c>
      <c r="C60">
        <v>230</v>
      </c>
      <c r="D60">
        <v>0</v>
      </c>
      <c r="E60">
        <v>0</v>
      </c>
      <c r="F60" s="14">
        <v>40268</v>
      </c>
    </row>
    <row r="61" spans="1:6" x14ac:dyDescent="0.25">
      <c r="A61" s="4" t="s">
        <v>217</v>
      </c>
      <c r="B61" s="10" t="s">
        <v>238</v>
      </c>
      <c r="C61">
        <v>336795</v>
      </c>
      <c r="D61">
        <v>11509</v>
      </c>
      <c r="E61">
        <v>100600</v>
      </c>
      <c r="F61" s="14">
        <v>40343</v>
      </c>
    </row>
    <row r="62" spans="1:6" x14ac:dyDescent="0.25">
      <c r="A62" s="4" t="s">
        <v>219</v>
      </c>
      <c r="B62" s="10" t="s">
        <v>239</v>
      </c>
      <c r="C62">
        <v>241300</v>
      </c>
      <c r="D62">
        <v>278</v>
      </c>
      <c r="E62">
        <v>83600</v>
      </c>
      <c r="F62" s="14">
        <v>40350</v>
      </c>
    </row>
    <row r="63" spans="1:6" x14ac:dyDescent="0.25">
      <c r="A63" s="4" t="s">
        <v>221</v>
      </c>
      <c r="B63" s="10" t="s">
        <v>242</v>
      </c>
      <c r="C63">
        <v>1500</v>
      </c>
      <c r="D63">
        <v>0</v>
      </c>
      <c r="E63">
        <v>0</v>
      </c>
      <c r="F63" s="14">
        <v>40351</v>
      </c>
    </row>
    <row r="64" spans="1:6" x14ac:dyDescent="0.25">
      <c r="A64" s="4" t="s">
        <v>223</v>
      </c>
      <c r="B64" s="10" t="s">
        <v>243</v>
      </c>
      <c r="C64">
        <v>645800</v>
      </c>
      <c r="D64">
        <v>0</v>
      </c>
      <c r="E64">
        <v>645712</v>
      </c>
      <c r="F64" s="14">
        <v>40319</v>
      </c>
    </row>
    <row r="65" spans="1:6" x14ac:dyDescent="0.25">
      <c r="A65" s="4" t="s">
        <v>226</v>
      </c>
      <c r="B65" s="10" t="s">
        <v>244</v>
      </c>
      <c r="C65">
        <v>4532</v>
      </c>
      <c r="D65">
        <v>0</v>
      </c>
      <c r="E65">
        <v>2733</v>
      </c>
      <c r="F65" s="14">
        <v>40268</v>
      </c>
    </row>
    <row r="66" spans="1:6" x14ac:dyDescent="0.25">
      <c r="A66" s="4" t="s">
        <v>230</v>
      </c>
      <c r="B66" s="10" t="s">
        <v>253</v>
      </c>
      <c r="C66">
        <v>2100</v>
      </c>
      <c r="D66">
        <v>0</v>
      </c>
      <c r="E66">
        <v>963</v>
      </c>
      <c r="F66" s="14">
        <v>40346</v>
      </c>
    </row>
    <row r="67" spans="1:6" x14ac:dyDescent="0.25">
      <c r="A67" s="4" t="s">
        <v>233</v>
      </c>
      <c r="B67" s="10" t="s">
        <v>254</v>
      </c>
      <c r="C67">
        <v>42680</v>
      </c>
      <c r="D67">
        <v>0</v>
      </c>
      <c r="E67">
        <v>12282</v>
      </c>
      <c r="F67" s="14">
        <v>40326</v>
      </c>
    </row>
    <row r="68" spans="1:6" x14ac:dyDescent="0.25">
      <c r="A68" s="4" t="s">
        <v>235</v>
      </c>
      <c r="B68" s="10" t="s">
        <v>255</v>
      </c>
      <c r="C68">
        <v>5700</v>
      </c>
      <c r="D68">
        <v>1009</v>
      </c>
      <c r="E68">
        <v>5700</v>
      </c>
      <c r="F68" s="14">
        <v>40268</v>
      </c>
    </row>
    <row r="69" spans="1:6" x14ac:dyDescent="0.25">
      <c r="A69" s="4" t="s">
        <v>237</v>
      </c>
      <c r="B69" s="10" t="s">
        <v>256</v>
      </c>
      <c r="C69">
        <v>480073</v>
      </c>
      <c r="D69">
        <v>6800</v>
      </c>
      <c r="E69">
        <v>473273</v>
      </c>
      <c r="F69" s="14">
        <v>40397</v>
      </c>
    </row>
    <row r="70" spans="1:6" x14ac:dyDescent="0.25">
      <c r="A70" s="4" t="s">
        <v>240</v>
      </c>
      <c r="B70" s="10" t="s">
        <v>257</v>
      </c>
      <c r="C70">
        <v>300000</v>
      </c>
      <c r="D70">
        <v>1500</v>
      </c>
      <c r="E70">
        <v>63000</v>
      </c>
      <c r="F70" s="14">
        <v>40310</v>
      </c>
    </row>
    <row r="71" spans="1:6" x14ac:dyDescent="0.25">
      <c r="A71" s="4" t="s">
        <v>248</v>
      </c>
      <c r="B71" s="10" t="s">
        <v>275</v>
      </c>
      <c r="C71">
        <v>227</v>
      </c>
      <c r="D71">
        <v>0</v>
      </c>
      <c r="E71">
        <v>0</v>
      </c>
      <c r="F71" s="14">
        <v>40400</v>
      </c>
    </row>
    <row r="72" spans="1:6" x14ac:dyDescent="0.25">
      <c r="A72" s="4" t="s">
        <v>250</v>
      </c>
      <c r="B72" s="10" t="s">
        <v>276</v>
      </c>
      <c r="C72">
        <v>202</v>
      </c>
      <c r="D72">
        <v>0</v>
      </c>
      <c r="E72">
        <v>0</v>
      </c>
      <c r="F72" s="14">
        <v>40359</v>
      </c>
    </row>
    <row r="73" spans="1:6" x14ac:dyDescent="0.25">
      <c r="A73" s="4" t="s">
        <v>258</v>
      </c>
      <c r="B73" s="10" t="s">
        <v>283</v>
      </c>
      <c r="C73">
        <v>98336</v>
      </c>
      <c r="D73">
        <v>149</v>
      </c>
      <c r="E73">
        <v>2370.0356582899999</v>
      </c>
      <c r="F73" s="14">
        <v>40352</v>
      </c>
    </row>
    <row r="74" spans="1:6" x14ac:dyDescent="0.25">
      <c r="A74" s="4" t="s">
        <v>263</v>
      </c>
      <c r="B74" s="10" t="s">
        <v>58</v>
      </c>
      <c r="C74">
        <v>825</v>
      </c>
      <c r="D74">
        <v>244</v>
      </c>
      <c r="E74">
        <v>600</v>
      </c>
      <c r="F74" s="14">
        <v>40268</v>
      </c>
    </row>
    <row r="75" spans="1:6" x14ac:dyDescent="0.25">
      <c r="A75" s="4" t="s">
        <v>266</v>
      </c>
      <c r="B75" s="10" t="s">
        <v>60</v>
      </c>
      <c r="C75">
        <v>75179</v>
      </c>
      <c r="D75">
        <v>175</v>
      </c>
      <c r="E75">
        <v>6300</v>
      </c>
      <c r="F75" s="14">
        <v>40374</v>
      </c>
    </row>
    <row r="76" spans="1:6" x14ac:dyDescent="0.25">
      <c r="A76" s="4" t="s">
        <v>268</v>
      </c>
      <c r="B76" s="10" t="s">
        <v>65</v>
      </c>
      <c r="C76">
        <v>328395</v>
      </c>
      <c r="D76">
        <v>16</v>
      </c>
      <c r="E76">
        <v>311782</v>
      </c>
      <c r="F76" s="14">
        <v>40329</v>
      </c>
    </row>
    <row r="77" spans="1:6" x14ac:dyDescent="0.25">
      <c r="A77" s="4" t="s">
        <v>271</v>
      </c>
      <c r="B77" s="10" t="s">
        <v>73</v>
      </c>
      <c r="C77">
        <v>291530</v>
      </c>
      <c r="D77">
        <v>120</v>
      </c>
      <c r="E77">
        <v>173620</v>
      </c>
      <c r="F77" s="14">
        <v>40268</v>
      </c>
    </row>
    <row r="78" spans="1:6" x14ac:dyDescent="0.25">
      <c r="A78" s="4" t="s">
        <v>273</v>
      </c>
      <c r="B78" s="10" t="s">
        <v>77</v>
      </c>
      <c r="C78">
        <v>392</v>
      </c>
      <c r="D78">
        <v>0</v>
      </c>
      <c r="E78">
        <v>0</v>
      </c>
      <c r="F78" s="14">
        <v>40332</v>
      </c>
    </row>
    <row r="79" spans="1:6" x14ac:dyDescent="0.25">
      <c r="A79" s="4" t="s">
        <v>277</v>
      </c>
      <c r="B79" s="10" t="s">
        <v>83</v>
      </c>
      <c r="C79">
        <v>60000</v>
      </c>
      <c r="D79">
        <v>1838</v>
      </c>
      <c r="E79">
        <v>59820</v>
      </c>
      <c r="F79" s="14">
        <v>40330</v>
      </c>
    </row>
    <row r="80" spans="1:6" x14ac:dyDescent="0.25">
      <c r="A80" s="4" t="s">
        <v>281</v>
      </c>
      <c r="B80" s="10" t="s">
        <v>153</v>
      </c>
      <c r="C80">
        <v>20603</v>
      </c>
      <c r="D80">
        <v>361</v>
      </c>
      <c r="E80">
        <v>3285</v>
      </c>
      <c r="F80" s="14">
        <v>40268</v>
      </c>
    </row>
  </sheetData>
  <autoFilter ref="A1:F1" xr:uid="{5DAF4A1A-DD9D-475B-BC42-7E3AB0AED5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4634-7C30-4853-B9F1-08FD6009FB83}">
  <dimension ref="A1:D80"/>
  <sheetViews>
    <sheetView topLeftCell="A35" workbookViewId="0">
      <selection activeCell="I67" sqref="I67"/>
    </sheetView>
  </sheetViews>
  <sheetFormatPr defaultRowHeight="15" x14ac:dyDescent="0.25"/>
  <cols>
    <col min="1" max="1" width="9.28515625" bestFit="1" customWidth="1"/>
    <col min="2" max="2" width="100.7109375" customWidth="1"/>
    <col min="3" max="3" width="29.5703125" customWidth="1"/>
    <col min="4" max="4" width="46.28515625" customWidth="1"/>
  </cols>
  <sheetData>
    <row r="1" spans="1:4" ht="15.75" thickBot="1" x14ac:dyDescent="0.3">
      <c r="A1" s="31" t="s">
        <v>653</v>
      </c>
      <c r="B1" s="32" t="s">
        <v>1</v>
      </c>
      <c r="C1" s="32" t="s">
        <v>295</v>
      </c>
      <c r="D1" s="32" t="s">
        <v>296</v>
      </c>
    </row>
    <row r="2" spans="1:4" x14ac:dyDescent="0.25">
      <c r="A2" s="30" t="s">
        <v>7</v>
      </c>
      <c r="B2" s="10" t="s">
        <v>8</v>
      </c>
      <c r="C2" t="b">
        <v>0</v>
      </c>
      <c r="D2" t="s">
        <v>195</v>
      </c>
    </row>
    <row r="3" spans="1:4" x14ac:dyDescent="0.25">
      <c r="A3" s="30" t="s">
        <v>13</v>
      </c>
      <c r="B3" s="10" t="s">
        <v>14</v>
      </c>
      <c r="C3" t="b">
        <v>1</v>
      </c>
      <c r="D3" t="s">
        <v>288</v>
      </c>
    </row>
    <row r="4" spans="1:4" x14ac:dyDescent="0.25">
      <c r="A4" s="30" t="s">
        <v>16</v>
      </c>
      <c r="B4" s="10" t="s">
        <v>17</v>
      </c>
      <c r="C4" t="b">
        <v>0</v>
      </c>
      <c r="D4">
        <v>0</v>
      </c>
    </row>
    <row r="5" spans="1:4" x14ac:dyDescent="0.25">
      <c r="A5" s="30" t="s">
        <v>20</v>
      </c>
      <c r="B5" s="10" t="s">
        <v>21</v>
      </c>
      <c r="C5" t="b">
        <v>1</v>
      </c>
      <c r="D5" t="s">
        <v>290</v>
      </c>
    </row>
    <row r="6" spans="1:4" x14ac:dyDescent="0.25">
      <c r="A6" s="30" t="s">
        <v>23</v>
      </c>
      <c r="B6" s="10" t="s">
        <v>24</v>
      </c>
      <c r="C6" t="b">
        <v>1</v>
      </c>
      <c r="D6" t="s">
        <v>293</v>
      </c>
    </row>
    <row r="7" spans="1:4" x14ac:dyDescent="0.25">
      <c r="A7" s="30" t="s">
        <v>26</v>
      </c>
      <c r="B7" s="10" t="s">
        <v>27</v>
      </c>
      <c r="C7" t="b">
        <v>0</v>
      </c>
      <c r="D7" t="s">
        <v>195</v>
      </c>
    </row>
    <row r="8" spans="1:4" x14ac:dyDescent="0.25">
      <c r="A8" s="30" t="s">
        <v>35</v>
      </c>
      <c r="B8" s="10" t="s">
        <v>36</v>
      </c>
      <c r="C8" t="b">
        <v>1</v>
      </c>
      <c r="D8" t="s">
        <v>289</v>
      </c>
    </row>
    <row r="9" spans="1:4" x14ac:dyDescent="0.25">
      <c r="A9" s="30" t="s">
        <v>37</v>
      </c>
      <c r="B9" s="10" t="s">
        <v>38</v>
      </c>
      <c r="C9" t="b">
        <v>1</v>
      </c>
      <c r="D9" t="s">
        <v>293</v>
      </c>
    </row>
    <row r="10" spans="1:4" x14ac:dyDescent="0.25">
      <c r="A10" s="30" t="s">
        <v>43</v>
      </c>
      <c r="B10" s="10" t="s">
        <v>44</v>
      </c>
      <c r="C10" t="b">
        <v>0</v>
      </c>
      <c r="D10" t="s">
        <v>195</v>
      </c>
    </row>
    <row r="11" spans="1:4" x14ac:dyDescent="0.25">
      <c r="A11" s="30" t="s">
        <v>45</v>
      </c>
      <c r="B11" s="10" t="s">
        <v>46</v>
      </c>
      <c r="C11" t="b">
        <v>1</v>
      </c>
      <c r="D11" t="s">
        <v>290</v>
      </c>
    </row>
    <row r="12" spans="1:4" x14ac:dyDescent="0.25">
      <c r="A12" s="30" t="s">
        <v>51</v>
      </c>
      <c r="B12" s="10" t="s">
        <v>52</v>
      </c>
      <c r="C12" t="b">
        <v>1</v>
      </c>
      <c r="D12" t="s">
        <v>290</v>
      </c>
    </row>
    <row r="13" spans="1:4" x14ac:dyDescent="0.25">
      <c r="A13" s="30" t="s">
        <v>55</v>
      </c>
      <c r="B13" s="10" t="s">
        <v>56</v>
      </c>
      <c r="C13" t="b">
        <v>1</v>
      </c>
      <c r="D13" t="s">
        <v>290</v>
      </c>
    </row>
    <row r="14" spans="1:4" x14ac:dyDescent="0.25">
      <c r="A14" s="30" t="s">
        <v>61</v>
      </c>
      <c r="B14" s="10" t="s">
        <v>62</v>
      </c>
      <c r="C14" t="b">
        <v>1</v>
      </c>
      <c r="D14" t="s">
        <v>292</v>
      </c>
    </row>
    <row r="15" spans="1:4" x14ac:dyDescent="0.25">
      <c r="A15" s="30" t="s">
        <v>63</v>
      </c>
      <c r="B15" s="10" t="s">
        <v>64</v>
      </c>
      <c r="C15" t="b">
        <v>1</v>
      </c>
      <c r="D15" t="s">
        <v>290</v>
      </c>
    </row>
    <row r="16" spans="1:4" x14ac:dyDescent="0.25">
      <c r="A16" s="30" t="s">
        <v>67</v>
      </c>
      <c r="B16" s="10" t="s">
        <v>68</v>
      </c>
      <c r="C16" t="b">
        <v>1</v>
      </c>
      <c r="D16" t="s">
        <v>292</v>
      </c>
    </row>
    <row r="17" spans="1:4" x14ac:dyDescent="0.25">
      <c r="A17" s="30" t="s">
        <v>69</v>
      </c>
      <c r="B17" s="10" t="s">
        <v>70</v>
      </c>
      <c r="C17" t="b">
        <v>1</v>
      </c>
      <c r="D17" t="s">
        <v>288</v>
      </c>
    </row>
    <row r="18" spans="1:4" x14ac:dyDescent="0.25">
      <c r="A18" s="30" t="s">
        <v>71</v>
      </c>
      <c r="B18" s="10" t="s">
        <v>72</v>
      </c>
      <c r="C18" t="b">
        <v>0</v>
      </c>
      <c r="D18" t="s">
        <v>287</v>
      </c>
    </row>
    <row r="19" spans="1:4" x14ac:dyDescent="0.25">
      <c r="A19" s="30" t="s">
        <v>75</v>
      </c>
      <c r="B19" s="10" t="s">
        <v>76</v>
      </c>
      <c r="C19" t="b">
        <v>1</v>
      </c>
      <c r="D19" t="s">
        <v>291</v>
      </c>
    </row>
    <row r="20" spans="1:4" x14ac:dyDescent="0.25">
      <c r="A20" s="30" t="s">
        <v>78</v>
      </c>
      <c r="B20" s="10" t="s">
        <v>79</v>
      </c>
      <c r="C20" t="b">
        <v>1</v>
      </c>
      <c r="D20" t="s">
        <v>291</v>
      </c>
    </row>
    <row r="21" spans="1:4" x14ac:dyDescent="0.25">
      <c r="A21" s="30" t="s">
        <v>80</v>
      </c>
      <c r="B21" s="10" t="s">
        <v>81</v>
      </c>
      <c r="C21" t="b">
        <v>1</v>
      </c>
      <c r="D21" t="s">
        <v>291</v>
      </c>
    </row>
    <row r="22" spans="1:4" x14ac:dyDescent="0.25">
      <c r="A22" s="30" t="s">
        <v>90</v>
      </c>
      <c r="B22" s="10" t="s">
        <v>91</v>
      </c>
      <c r="C22" t="b">
        <v>1</v>
      </c>
      <c r="D22" t="s">
        <v>291</v>
      </c>
    </row>
    <row r="23" spans="1:4" x14ac:dyDescent="0.25">
      <c r="A23" s="30" t="s">
        <v>93</v>
      </c>
      <c r="B23" s="10" t="s">
        <v>94</v>
      </c>
      <c r="C23" t="b">
        <v>0</v>
      </c>
      <c r="D23" t="s">
        <v>195</v>
      </c>
    </row>
    <row r="24" spans="1:4" x14ac:dyDescent="0.25">
      <c r="A24" s="30" t="s">
        <v>97</v>
      </c>
      <c r="B24" s="10" t="s">
        <v>98</v>
      </c>
      <c r="C24" t="b">
        <v>1</v>
      </c>
      <c r="D24" t="s">
        <v>289</v>
      </c>
    </row>
    <row r="25" spans="1:4" x14ac:dyDescent="0.25">
      <c r="A25" s="30" t="s">
        <v>101</v>
      </c>
      <c r="B25" s="10" t="s">
        <v>102</v>
      </c>
      <c r="C25" t="b">
        <v>0</v>
      </c>
      <c r="D25" t="s">
        <v>195</v>
      </c>
    </row>
    <row r="26" spans="1:4" x14ac:dyDescent="0.25">
      <c r="A26" s="30" t="s">
        <v>104</v>
      </c>
      <c r="B26" s="10" t="s">
        <v>105</v>
      </c>
      <c r="C26" t="b">
        <v>1</v>
      </c>
      <c r="D26" t="s">
        <v>289</v>
      </c>
    </row>
    <row r="27" spans="1:4" x14ac:dyDescent="0.25">
      <c r="A27" s="30" t="s">
        <v>107</v>
      </c>
      <c r="B27" s="10" t="s">
        <v>108</v>
      </c>
      <c r="C27" t="b">
        <v>1</v>
      </c>
      <c r="D27" t="s">
        <v>293</v>
      </c>
    </row>
    <row r="28" spans="1:4" x14ac:dyDescent="0.25">
      <c r="A28" s="30" t="s">
        <v>109</v>
      </c>
      <c r="B28" s="10" t="s">
        <v>110</v>
      </c>
      <c r="C28" t="b">
        <v>1</v>
      </c>
      <c r="D28" t="s">
        <v>291</v>
      </c>
    </row>
    <row r="29" spans="1:4" x14ac:dyDescent="0.25">
      <c r="A29" s="30" t="s">
        <v>113</v>
      </c>
      <c r="B29" s="10" t="s">
        <v>114</v>
      </c>
      <c r="C29" t="b">
        <v>1</v>
      </c>
      <c r="D29" t="s">
        <v>293</v>
      </c>
    </row>
    <row r="30" spans="1:4" x14ac:dyDescent="0.25">
      <c r="A30" s="30" t="s">
        <v>115</v>
      </c>
      <c r="B30" s="10" t="s">
        <v>116</v>
      </c>
      <c r="C30" t="b">
        <v>1</v>
      </c>
      <c r="D30" t="s">
        <v>293</v>
      </c>
    </row>
    <row r="31" spans="1:4" x14ac:dyDescent="0.25">
      <c r="A31" s="30" t="s">
        <v>117</v>
      </c>
      <c r="B31" s="10" t="s">
        <v>118</v>
      </c>
      <c r="C31" t="b">
        <v>1</v>
      </c>
      <c r="D31" t="s">
        <v>288</v>
      </c>
    </row>
    <row r="32" spans="1:4" x14ac:dyDescent="0.25">
      <c r="A32" s="30" t="s">
        <v>119</v>
      </c>
      <c r="B32" s="10" t="s">
        <v>120</v>
      </c>
      <c r="C32" t="b">
        <v>1</v>
      </c>
      <c r="D32" t="s">
        <v>289</v>
      </c>
    </row>
    <row r="33" spans="1:4" x14ac:dyDescent="0.25">
      <c r="A33" s="30" t="s">
        <v>125</v>
      </c>
      <c r="B33" s="10" t="s">
        <v>126</v>
      </c>
      <c r="C33" t="b">
        <v>1</v>
      </c>
      <c r="D33" t="s">
        <v>293</v>
      </c>
    </row>
    <row r="34" spans="1:4" x14ac:dyDescent="0.25">
      <c r="A34" s="30" t="s">
        <v>127</v>
      </c>
      <c r="B34" s="10" t="s">
        <v>128</v>
      </c>
      <c r="C34" t="b">
        <v>1</v>
      </c>
      <c r="D34" t="s">
        <v>291</v>
      </c>
    </row>
    <row r="35" spans="1:4" x14ac:dyDescent="0.25">
      <c r="A35" s="30" t="s">
        <v>132</v>
      </c>
      <c r="B35" s="10" t="s">
        <v>133</v>
      </c>
      <c r="C35" t="b">
        <v>1</v>
      </c>
      <c r="D35" t="s">
        <v>292</v>
      </c>
    </row>
    <row r="36" spans="1:4" x14ac:dyDescent="0.25">
      <c r="A36" s="30" t="s">
        <v>134</v>
      </c>
      <c r="B36" s="10" t="s">
        <v>135</v>
      </c>
      <c r="C36" t="b">
        <v>1</v>
      </c>
      <c r="D36" t="s">
        <v>288</v>
      </c>
    </row>
    <row r="37" spans="1:4" x14ac:dyDescent="0.25">
      <c r="A37" s="30" t="s">
        <v>137</v>
      </c>
      <c r="B37" s="10" t="s">
        <v>138</v>
      </c>
      <c r="C37" t="b">
        <v>1</v>
      </c>
      <c r="D37" t="s">
        <v>291</v>
      </c>
    </row>
    <row r="38" spans="1:4" x14ac:dyDescent="0.25">
      <c r="A38" s="30" t="s">
        <v>140</v>
      </c>
      <c r="B38" s="10" t="s">
        <v>141</v>
      </c>
      <c r="C38" t="b">
        <v>1</v>
      </c>
      <c r="D38" t="s">
        <v>291</v>
      </c>
    </row>
    <row r="39" spans="1:4" x14ac:dyDescent="0.25">
      <c r="A39" s="30" t="s">
        <v>142</v>
      </c>
      <c r="B39" s="10" t="s">
        <v>143</v>
      </c>
      <c r="C39" t="b">
        <v>1</v>
      </c>
      <c r="D39" t="s">
        <v>290</v>
      </c>
    </row>
    <row r="40" spans="1:4" x14ac:dyDescent="0.25">
      <c r="A40" s="30" t="s">
        <v>144</v>
      </c>
      <c r="B40" s="10" t="s">
        <v>145</v>
      </c>
      <c r="C40" t="b">
        <v>1</v>
      </c>
      <c r="D40" t="s">
        <v>288</v>
      </c>
    </row>
    <row r="41" spans="1:4" x14ac:dyDescent="0.25">
      <c r="A41" s="30" t="s">
        <v>146</v>
      </c>
      <c r="B41" s="10" t="s">
        <v>147</v>
      </c>
      <c r="C41" t="b">
        <v>1</v>
      </c>
      <c r="D41" t="s">
        <v>291</v>
      </c>
    </row>
    <row r="42" spans="1:4" x14ac:dyDescent="0.25">
      <c r="A42" s="30" t="s">
        <v>152</v>
      </c>
      <c r="B42" s="10" t="s">
        <v>153</v>
      </c>
      <c r="C42" t="b">
        <v>1</v>
      </c>
      <c r="D42" t="s">
        <v>293</v>
      </c>
    </row>
    <row r="43" spans="1:4" x14ac:dyDescent="0.25">
      <c r="A43" s="30" t="s">
        <v>154</v>
      </c>
      <c r="B43" s="10" t="s">
        <v>155</v>
      </c>
      <c r="C43" t="b">
        <v>1</v>
      </c>
      <c r="D43" t="s">
        <v>288</v>
      </c>
    </row>
    <row r="44" spans="1:4" x14ac:dyDescent="0.25">
      <c r="A44" s="30" t="s">
        <v>156</v>
      </c>
      <c r="B44" s="10" t="s">
        <v>157</v>
      </c>
      <c r="C44" t="b">
        <v>1</v>
      </c>
      <c r="D44" t="s">
        <v>289</v>
      </c>
    </row>
    <row r="45" spans="1:4" x14ac:dyDescent="0.25">
      <c r="A45" s="30" t="s">
        <v>158</v>
      </c>
      <c r="B45" s="10" t="s">
        <v>159</v>
      </c>
      <c r="C45" t="b">
        <v>1</v>
      </c>
      <c r="D45" t="s">
        <v>291</v>
      </c>
    </row>
    <row r="46" spans="1:4" x14ac:dyDescent="0.25">
      <c r="A46" s="30" t="s">
        <v>161</v>
      </c>
      <c r="B46" s="10" t="s">
        <v>162</v>
      </c>
      <c r="C46" t="b">
        <v>1</v>
      </c>
      <c r="D46" t="s">
        <v>288</v>
      </c>
    </row>
    <row r="47" spans="1:4" x14ac:dyDescent="0.25">
      <c r="A47" s="30" t="s">
        <v>165</v>
      </c>
      <c r="B47" s="10" t="s">
        <v>166</v>
      </c>
      <c r="C47" t="b">
        <v>1</v>
      </c>
      <c r="D47" t="s">
        <v>288</v>
      </c>
    </row>
    <row r="48" spans="1:4" x14ac:dyDescent="0.25">
      <c r="A48" s="30" t="s">
        <v>169</v>
      </c>
      <c r="B48" s="10" t="s">
        <v>170</v>
      </c>
      <c r="C48" t="b">
        <v>1</v>
      </c>
      <c r="D48" t="s">
        <v>288</v>
      </c>
    </row>
    <row r="49" spans="1:4" x14ac:dyDescent="0.25">
      <c r="A49" s="30" t="s">
        <v>171</v>
      </c>
      <c r="B49" s="10" t="s">
        <v>172</v>
      </c>
      <c r="C49" t="b">
        <v>1</v>
      </c>
      <c r="D49" t="s">
        <v>290</v>
      </c>
    </row>
    <row r="50" spans="1:4" x14ac:dyDescent="0.25">
      <c r="A50" s="30" t="s">
        <v>173</v>
      </c>
      <c r="B50" s="10" t="s">
        <v>174</v>
      </c>
      <c r="C50" t="b">
        <v>1</v>
      </c>
      <c r="D50" t="s">
        <v>288</v>
      </c>
    </row>
    <row r="51" spans="1:4" x14ac:dyDescent="0.25">
      <c r="A51" s="30" t="s">
        <v>178</v>
      </c>
      <c r="B51" s="10" t="s">
        <v>179</v>
      </c>
      <c r="C51" t="b">
        <v>1</v>
      </c>
      <c r="D51" t="s">
        <v>289</v>
      </c>
    </row>
    <row r="52" spans="1:4" x14ac:dyDescent="0.25">
      <c r="A52" s="30" t="s">
        <v>180</v>
      </c>
      <c r="B52" s="10" t="s">
        <v>181</v>
      </c>
      <c r="C52" t="b">
        <v>1</v>
      </c>
      <c r="D52" t="s">
        <v>293</v>
      </c>
    </row>
    <row r="53" spans="1:4" x14ac:dyDescent="0.25">
      <c r="A53" s="30" t="s">
        <v>187</v>
      </c>
      <c r="B53" s="10" t="s">
        <v>188</v>
      </c>
      <c r="C53" t="b">
        <v>0</v>
      </c>
      <c r="D53">
        <v>0</v>
      </c>
    </row>
    <row r="54" spans="1:4" x14ac:dyDescent="0.25">
      <c r="A54" s="30" t="s">
        <v>189</v>
      </c>
      <c r="B54" s="10" t="s">
        <v>190</v>
      </c>
      <c r="C54" t="b">
        <v>1</v>
      </c>
      <c r="D54" t="s">
        <v>293</v>
      </c>
    </row>
    <row r="55" spans="1:4" x14ac:dyDescent="0.25">
      <c r="A55" s="30" t="s">
        <v>193</v>
      </c>
      <c r="B55" s="10" t="s">
        <v>194</v>
      </c>
      <c r="C55" t="b">
        <v>0</v>
      </c>
      <c r="D55">
        <v>0</v>
      </c>
    </row>
    <row r="56" spans="1:4" x14ac:dyDescent="0.25">
      <c r="A56" s="30" t="s">
        <v>202</v>
      </c>
      <c r="B56" s="10" t="s">
        <v>203</v>
      </c>
      <c r="C56" t="b">
        <v>1</v>
      </c>
      <c r="D56" t="s">
        <v>289</v>
      </c>
    </row>
    <row r="57" spans="1:4" x14ac:dyDescent="0.25">
      <c r="A57" s="30" t="s">
        <v>204</v>
      </c>
      <c r="B57" s="10" t="s">
        <v>205</v>
      </c>
      <c r="C57" t="b">
        <v>1</v>
      </c>
      <c r="D57" t="s">
        <v>290</v>
      </c>
    </row>
    <row r="58" spans="1:4" x14ac:dyDescent="0.25">
      <c r="A58" s="30" t="s">
        <v>208</v>
      </c>
      <c r="B58" s="10" t="s">
        <v>209</v>
      </c>
      <c r="C58" t="b">
        <v>0</v>
      </c>
      <c r="D58" t="s">
        <v>195</v>
      </c>
    </row>
    <row r="59" spans="1:4" x14ac:dyDescent="0.25">
      <c r="A59" s="30" t="s">
        <v>211</v>
      </c>
      <c r="B59" s="10" t="s">
        <v>212</v>
      </c>
      <c r="C59" t="b">
        <v>0</v>
      </c>
      <c r="D59">
        <v>0</v>
      </c>
    </row>
    <row r="60" spans="1:4" x14ac:dyDescent="0.25">
      <c r="A60" s="30" t="s">
        <v>214</v>
      </c>
      <c r="B60" s="10" t="s">
        <v>215</v>
      </c>
      <c r="C60" t="b">
        <v>0</v>
      </c>
      <c r="D60" t="s">
        <v>195</v>
      </c>
    </row>
    <row r="61" spans="1:4" x14ac:dyDescent="0.25">
      <c r="A61" s="30" t="s">
        <v>217</v>
      </c>
      <c r="B61" s="10" t="s">
        <v>218</v>
      </c>
      <c r="C61" t="b">
        <v>1</v>
      </c>
      <c r="D61" t="s">
        <v>293</v>
      </c>
    </row>
    <row r="62" spans="1:4" x14ac:dyDescent="0.25">
      <c r="A62" s="30" t="s">
        <v>219</v>
      </c>
      <c r="B62" s="10" t="s">
        <v>220</v>
      </c>
      <c r="C62" t="b">
        <v>1</v>
      </c>
      <c r="D62" t="s">
        <v>290</v>
      </c>
    </row>
    <row r="63" spans="1:4" x14ac:dyDescent="0.25">
      <c r="A63" s="30" t="s">
        <v>221</v>
      </c>
      <c r="B63" s="10" t="s">
        <v>222</v>
      </c>
      <c r="C63" t="b">
        <v>0</v>
      </c>
      <c r="D63" t="s">
        <v>195</v>
      </c>
    </row>
    <row r="64" spans="1:4" x14ac:dyDescent="0.25">
      <c r="A64" s="30" t="s">
        <v>223</v>
      </c>
      <c r="B64" s="10" t="s">
        <v>224</v>
      </c>
      <c r="C64" t="b">
        <v>1</v>
      </c>
      <c r="D64" t="s">
        <v>290</v>
      </c>
    </row>
    <row r="65" spans="1:4" x14ac:dyDescent="0.25">
      <c r="A65" s="30" t="s">
        <v>226</v>
      </c>
      <c r="B65" s="10" t="s">
        <v>227</v>
      </c>
      <c r="C65" t="b">
        <v>1</v>
      </c>
      <c r="D65" t="s">
        <v>290</v>
      </c>
    </row>
    <row r="66" spans="1:4" x14ac:dyDescent="0.25">
      <c r="A66" s="30" t="s">
        <v>230</v>
      </c>
      <c r="B66" s="10" t="s">
        <v>231</v>
      </c>
      <c r="C66" t="b">
        <v>1</v>
      </c>
      <c r="D66" t="s">
        <v>293</v>
      </c>
    </row>
    <row r="67" spans="1:4" x14ac:dyDescent="0.25">
      <c r="A67" s="30" t="s">
        <v>233</v>
      </c>
      <c r="B67" s="10" t="s">
        <v>234</v>
      </c>
      <c r="C67" t="b">
        <v>1</v>
      </c>
      <c r="D67" t="s">
        <v>290</v>
      </c>
    </row>
    <row r="68" spans="1:4" x14ac:dyDescent="0.25">
      <c r="A68" s="30" t="s">
        <v>235</v>
      </c>
      <c r="B68" s="10" t="s">
        <v>236</v>
      </c>
      <c r="C68" t="b">
        <v>1</v>
      </c>
      <c r="D68" t="s">
        <v>289</v>
      </c>
    </row>
    <row r="69" spans="1:4" x14ac:dyDescent="0.25">
      <c r="A69" s="30" t="s">
        <v>237</v>
      </c>
      <c r="B69" s="10" t="s">
        <v>238</v>
      </c>
      <c r="C69" t="b">
        <v>1</v>
      </c>
      <c r="D69" t="s">
        <v>289</v>
      </c>
    </row>
    <row r="70" spans="1:4" x14ac:dyDescent="0.25">
      <c r="A70" s="30" t="s">
        <v>240</v>
      </c>
      <c r="B70" s="10" t="s">
        <v>241</v>
      </c>
      <c r="C70" t="b">
        <v>1</v>
      </c>
      <c r="D70" t="s">
        <v>293</v>
      </c>
    </row>
    <row r="71" spans="1:4" x14ac:dyDescent="0.25">
      <c r="A71" s="30" t="s">
        <v>248</v>
      </c>
      <c r="B71" s="10" t="s">
        <v>249</v>
      </c>
      <c r="C71" t="b">
        <v>0</v>
      </c>
      <c r="D71" t="s">
        <v>287</v>
      </c>
    </row>
    <row r="72" spans="1:4" x14ac:dyDescent="0.25">
      <c r="A72" s="30" t="s">
        <v>250</v>
      </c>
      <c r="B72" s="10" t="s">
        <v>251</v>
      </c>
      <c r="C72" t="b">
        <v>0</v>
      </c>
      <c r="D72" t="s">
        <v>287</v>
      </c>
    </row>
    <row r="73" spans="1:4" x14ac:dyDescent="0.25">
      <c r="A73" s="30" t="s">
        <v>258</v>
      </c>
      <c r="B73" s="10" t="s">
        <v>259</v>
      </c>
      <c r="C73" t="b">
        <v>1</v>
      </c>
      <c r="D73" t="s">
        <v>293</v>
      </c>
    </row>
    <row r="74" spans="1:4" x14ac:dyDescent="0.25">
      <c r="A74" s="30" t="s">
        <v>263</v>
      </c>
      <c r="B74" s="10" t="s">
        <v>264</v>
      </c>
      <c r="C74" t="b">
        <v>1</v>
      </c>
      <c r="D74" t="s">
        <v>290</v>
      </c>
    </row>
    <row r="75" spans="1:4" x14ac:dyDescent="0.25">
      <c r="A75" s="30" t="s">
        <v>266</v>
      </c>
      <c r="B75" s="10" t="s">
        <v>267</v>
      </c>
      <c r="C75" t="b">
        <v>1</v>
      </c>
      <c r="D75" t="s">
        <v>293</v>
      </c>
    </row>
    <row r="76" spans="1:4" x14ac:dyDescent="0.25">
      <c r="A76" s="30" t="s">
        <v>268</v>
      </c>
      <c r="B76" s="10" t="s">
        <v>269</v>
      </c>
      <c r="C76" t="b">
        <v>1</v>
      </c>
      <c r="D76" t="s">
        <v>293</v>
      </c>
    </row>
    <row r="77" spans="1:4" x14ac:dyDescent="0.25">
      <c r="A77" s="30" t="s">
        <v>271</v>
      </c>
      <c r="B77" s="10" t="s">
        <v>272</v>
      </c>
      <c r="C77" t="b">
        <v>1</v>
      </c>
      <c r="D77" t="s">
        <v>293</v>
      </c>
    </row>
    <row r="78" spans="1:4" x14ac:dyDescent="0.25">
      <c r="A78" s="30" t="s">
        <v>273</v>
      </c>
      <c r="B78" s="10" t="s">
        <v>274</v>
      </c>
      <c r="C78" t="b">
        <v>0</v>
      </c>
      <c r="D78" t="s">
        <v>287</v>
      </c>
    </row>
    <row r="79" spans="1:4" x14ac:dyDescent="0.25">
      <c r="A79" s="30" t="s">
        <v>277</v>
      </c>
      <c r="B79" s="10" t="s">
        <v>278</v>
      </c>
      <c r="C79" t="b">
        <v>1</v>
      </c>
      <c r="D79" t="s">
        <v>290</v>
      </c>
    </row>
    <row r="80" spans="1:4" x14ac:dyDescent="0.25">
      <c r="A80" s="30" t="s">
        <v>281</v>
      </c>
      <c r="B80" s="10" t="s">
        <v>282</v>
      </c>
      <c r="C80" t="b">
        <v>1</v>
      </c>
      <c r="D80" t="s">
        <v>293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70337-19A8-4DF3-A54B-6B354F817F14}">
  <dimension ref="A1:A7"/>
  <sheetViews>
    <sheetView workbookViewId="0">
      <selection activeCell="A27" sqref="A27"/>
    </sheetView>
  </sheetViews>
  <sheetFormatPr defaultRowHeight="15" x14ac:dyDescent="0.25"/>
  <cols>
    <col min="1" max="1" width="50.7109375" customWidth="1"/>
  </cols>
  <sheetData>
    <row r="1" spans="1:1" x14ac:dyDescent="0.25">
      <c r="A1" s="32" t="s">
        <v>296</v>
      </c>
    </row>
    <row r="2" spans="1:1" x14ac:dyDescent="0.25">
      <c r="A2" t="s">
        <v>293</v>
      </c>
    </row>
    <row r="3" spans="1:1" x14ac:dyDescent="0.25">
      <c r="A3" t="s">
        <v>292</v>
      </c>
    </row>
    <row r="4" spans="1:1" x14ac:dyDescent="0.25">
      <c r="A4" t="s">
        <v>291</v>
      </c>
    </row>
    <row r="5" spans="1:1" x14ac:dyDescent="0.25">
      <c r="A5" t="s">
        <v>290</v>
      </c>
    </row>
    <row r="6" spans="1:1" x14ac:dyDescent="0.25">
      <c r="A6" t="s">
        <v>289</v>
      </c>
    </row>
    <row r="7" spans="1:1" x14ac:dyDescent="0.25">
      <c r="A7" t="s">
        <v>288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08D2-55D6-4C2F-8A2A-3FF1E2C4F2A8}">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1A44-C931-4B4F-8C75-ED37ABFB10CA}">
  <dimension ref="A1:G80"/>
  <sheetViews>
    <sheetView workbookViewId="0">
      <selection sqref="A1:A1048576"/>
    </sheetView>
  </sheetViews>
  <sheetFormatPr defaultRowHeight="15" x14ac:dyDescent="0.25"/>
  <cols>
    <col min="1" max="1" width="9.28515625" bestFit="1" customWidth="1"/>
    <col min="2" max="2" width="100.7109375" customWidth="1"/>
    <col min="3" max="3" width="9.85546875" customWidth="1"/>
    <col min="4" max="4" width="10.28515625" customWidth="1"/>
    <col min="5" max="5" width="11.28515625" customWidth="1"/>
    <col min="6" max="6" width="14.42578125" customWidth="1"/>
    <col min="7" max="7" width="11.5703125" customWidth="1"/>
  </cols>
  <sheetData>
    <row r="1" spans="1:7" ht="60.75" thickBot="1" x14ac:dyDescent="0.3">
      <c r="A1" s="1" t="s">
        <v>0</v>
      </c>
      <c r="B1" s="2" t="s">
        <v>1</v>
      </c>
      <c r="C1" s="15" t="s">
        <v>548</v>
      </c>
      <c r="D1" s="15" t="s">
        <v>549</v>
      </c>
      <c r="E1" s="15" t="s">
        <v>550</v>
      </c>
      <c r="F1" s="15" t="s">
        <v>551</v>
      </c>
      <c r="G1" s="15" t="s">
        <v>652</v>
      </c>
    </row>
    <row r="2" spans="1:7" x14ac:dyDescent="0.25">
      <c r="A2" s="4" t="s">
        <v>7</v>
      </c>
      <c r="B2" s="10" t="s">
        <v>8</v>
      </c>
      <c r="C2">
        <v>0</v>
      </c>
      <c r="D2">
        <v>0</v>
      </c>
      <c r="E2">
        <v>0</v>
      </c>
      <c r="F2">
        <v>580</v>
      </c>
      <c r="G2">
        <v>0</v>
      </c>
    </row>
    <row r="3" spans="1:7" x14ac:dyDescent="0.25">
      <c r="A3" s="4" t="s">
        <v>13</v>
      </c>
      <c r="B3" s="10" t="s">
        <v>14</v>
      </c>
      <c r="C3">
        <v>289</v>
      </c>
      <c r="D3">
        <v>0</v>
      </c>
      <c r="E3">
        <v>0</v>
      </c>
      <c r="F3">
        <v>0</v>
      </c>
      <c r="G3">
        <v>0</v>
      </c>
    </row>
    <row r="4" spans="1:7" x14ac:dyDescent="0.25">
      <c r="A4" s="4" t="s">
        <v>16</v>
      </c>
      <c r="B4" s="10" t="s">
        <v>17</v>
      </c>
      <c r="C4">
        <v>0</v>
      </c>
      <c r="D4">
        <v>23</v>
      </c>
      <c r="E4">
        <v>26</v>
      </c>
      <c r="F4">
        <v>34</v>
      </c>
      <c r="G4">
        <v>236214</v>
      </c>
    </row>
    <row r="5" spans="1:7" x14ac:dyDescent="0.25">
      <c r="A5" s="4" t="s">
        <v>20</v>
      </c>
      <c r="B5" s="10" t="s">
        <v>21</v>
      </c>
      <c r="C5">
        <v>200000</v>
      </c>
      <c r="D5">
        <v>112000</v>
      </c>
      <c r="E5">
        <v>22365</v>
      </c>
      <c r="F5">
        <v>0</v>
      </c>
      <c r="G5">
        <v>83000000</v>
      </c>
    </row>
    <row r="6" spans="1:7" x14ac:dyDescent="0.25">
      <c r="A6" s="4" t="s">
        <v>23</v>
      </c>
      <c r="B6" s="10" t="s">
        <v>24</v>
      </c>
      <c r="C6">
        <v>210</v>
      </c>
      <c r="D6">
        <v>0</v>
      </c>
      <c r="E6">
        <v>0</v>
      </c>
      <c r="F6">
        <v>5</v>
      </c>
      <c r="G6">
        <v>0</v>
      </c>
    </row>
    <row r="7" spans="1:7" x14ac:dyDescent="0.25">
      <c r="A7" s="4" t="s">
        <v>26</v>
      </c>
      <c r="B7" s="10" t="s">
        <v>27</v>
      </c>
      <c r="C7">
        <v>9</v>
      </c>
      <c r="D7">
        <v>0</v>
      </c>
      <c r="E7">
        <v>331</v>
      </c>
      <c r="F7">
        <v>583</v>
      </c>
      <c r="G7">
        <v>62309</v>
      </c>
    </row>
    <row r="8" spans="1:7" x14ac:dyDescent="0.25">
      <c r="A8" s="4" t="s">
        <v>35</v>
      </c>
      <c r="B8" s="10" t="s">
        <v>36</v>
      </c>
      <c r="C8">
        <v>13564</v>
      </c>
      <c r="D8">
        <v>1907</v>
      </c>
      <c r="E8">
        <v>2479.1</v>
      </c>
      <c r="F8">
        <v>43236.9</v>
      </c>
      <c r="G8">
        <v>0</v>
      </c>
    </row>
    <row r="9" spans="1:7" x14ac:dyDescent="0.25">
      <c r="A9" s="4" t="s">
        <v>37</v>
      </c>
      <c r="B9" s="10" t="s">
        <v>38</v>
      </c>
      <c r="C9">
        <v>55304</v>
      </c>
      <c r="D9">
        <v>1150</v>
      </c>
      <c r="E9">
        <v>1495</v>
      </c>
      <c r="F9">
        <v>9355</v>
      </c>
      <c r="G9">
        <v>420000</v>
      </c>
    </row>
    <row r="10" spans="1:7" x14ac:dyDescent="0.25">
      <c r="A10" s="4" t="s">
        <v>43</v>
      </c>
      <c r="B10" s="10" t="s">
        <v>44</v>
      </c>
      <c r="C10">
        <v>0</v>
      </c>
      <c r="D10">
        <v>0</v>
      </c>
      <c r="E10">
        <v>47</v>
      </c>
      <c r="F10">
        <v>663</v>
      </c>
      <c r="G10">
        <v>1</v>
      </c>
    </row>
    <row r="11" spans="1:7" x14ac:dyDescent="0.25">
      <c r="A11" s="4" t="s">
        <v>45</v>
      </c>
      <c r="B11" s="10" t="s">
        <v>46</v>
      </c>
      <c r="C11">
        <v>1892</v>
      </c>
      <c r="D11">
        <v>141</v>
      </c>
      <c r="E11">
        <v>183.3</v>
      </c>
      <c r="F11">
        <v>293.69999999999982</v>
      </c>
      <c r="G11">
        <v>478000</v>
      </c>
    </row>
    <row r="12" spans="1:7" x14ac:dyDescent="0.25">
      <c r="A12" s="4" t="s">
        <v>51</v>
      </c>
      <c r="B12" s="10" t="s">
        <v>52</v>
      </c>
      <c r="C12">
        <v>384</v>
      </c>
      <c r="D12">
        <v>41</v>
      </c>
      <c r="E12">
        <v>53.300000000000004</v>
      </c>
      <c r="F12">
        <v>0</v>
      </c>
      <c r="G12">
        <v>0</v>
      </c>
    </row>
    <row r="13" spans="1:7" x14ac:dyDescent="0.25">
      <c r="A13" s="4" t="s">
        <v>55</v>
      </c>
      <c r="B13" s="10" t="s">
        <v>56</v>
      </c>
      <c r="C13">
        <v>3151</v>
      </c>
      <c r="D13">
        <v>0</v>
      </c>
      <c r="E13">
        <v>0</v>
      </c>
      <c r="F13">
        <v>0</v>
      </c>
      <c r="G13">
        <v>0</v>
      </c>
    </row>
    <row r="14" spans="1:7" x14ac:dyDescent="0.25">
      <c r="A14" s="4" t="s">
        <v>61</v>
      </c>
      <c r="B14" s="10" t="s">
        <v>62</v>
      </c>
      <c r="C14">
        <v>2154</v>
      </c>
      <c r="D14">
        <v>0</v>
      </c>
      <c r="E14">
        <v>0</v>
      </c>
      <c r="F14">
        <v>0</v>
      </c>
      <c r="G14">
        <v>0</v>
      </c>
    </row>
    <row r="15" spans="1:7" x14ac:dyDescent="0.25">
      <c r="A15" s="4" t="s">
        <v>63</v>
      </c>
      <c r="B15" s="10" t="s">
        <v>64</v>
      </c>
      <c r="C15">
        <v>2211</v>
      </c>
      <c r="D15">
        <v>0</v>
      </c>
      <c r="E15">
        <v>0</v>
      </c>
      <c r="F15">
        <v>0</v>
      </c>
      <c r="G15">
        <v>13758</v>
      </c>
    </row>
    <row r="16" spans="1:7" x14ac:dyDescent="0.25">
      <c r="A16" s="4" t="s">
        <v>67</v>
      </c>
      <c r="B16" s="10" t="s">
        <v>68</v>
      </c>
      <c r="C16">
        <v>639</v>
      </c>
      <c r="D16">
        <v>84</v>
      </c>
      <c r="E16">
        <v>109.2</v>
      </c>
      <c r="F16">
        <v>134.79999999999995</v>
      </c>
      <c r="G16">
        <v>0</v>
      </c>
    </row>
    <row r="17" spans="1:7" x14ac:dyDescent="0.25">
      <c r="A17" s="4" t="s">
        <v>69</v>
      </c>
      <c r="B17" s="10" t="s">
        <v>70</v>
      </c>
      <c r="C17">
        <v>1631</v>
      </c>
      <c r="D17">
        <v>1500</v>
      </c>
      <c r="E17">
        <v>1950</v>
      </c>
      <c r="F17">
        <v>0</v>
      </c>
      <c r="G17">
        <v>0</v>
      </c>
    </row>
    <row r="18" spans="1:7" x14ac:dyDescent="0.25">
      <c r="A18" s="4" t="s">
        <v>71</v>
      </c>
      <c r="B18" s="10" t="s">
        <v>72</v>
      </c>
      <c r="C18">
        <v>0</v>
      </c>
      <c r="D18">
        <v>0</v>
      </c>
      <c r="E18">
        <v>34</v>
      </c>
      <c r="F18">
        <v>717</v>
      </c>
      <c r="G18">
        <v>120000</v>
      </c>
    </row>
    <row r="19" spans="1:7" x14ac:dyDescent="0.25">
      <c r="A19" s="4" t="s">
        <v>75</v>
      </c>
      <c r="B19" s="10" t="s">
        <v>76</v>
      </c>
      <c r="C19">
        <v>1125</v>
      </c>
      <c r="D19">
        <v>265</v>
      </c>
      <c r="E19">
        <v>344.5</v>
      </c>
      <c r="F19">
        <v>1408.5</v>
      </c>
      <c r="G19">
        <v>143000</v>
      </c>
    </row>
    <row r="20" spans="1:7" x14ac:dyDescent="0.25">
      <c r="A20" s="4" t="s">
        <v>78</v>
      </c>
      <c r="B20" s="10" t="s">
        <v>79</v>
      </c>
      <c r="C20">
        <v>1200</v>
      </c>
      <c r="D20">
        <v>3900</v>
      </c>
      <c r="E20">
        <v>5070</v>
      </c>
      <c r="F20">
        <v>158830</v>
      </c>
      <c r="G20">
        <v>2400000</v>
      </c>
    </row>
    <row r="21" spans="1:7" x14ac:dyDescent="0.25">
      <c r="A21" s="4" t="s">
        <v>80</v>
      </c>
      <c r="B21" s="10" t="s">
        <v>81</v>
      </c>
      <c r="C21">
        <v>6127</v>
      </c>
      <c r="D21">
        <v>6662</v>
      </c>
      <c r="E21">
        <v>0</v>
      </c>
      <c r="F21">
        <v>0</v>
      </c>
      <c r="G21">
        <v>1096000</v>
      </c>
    </row>
    <row r="22" spans="1:7" x14ac:dyDescent="0.25">
      <c r="A22" s="4" t="s">
        <v>90</v>
      </c>
      <c r="B22" s="10" t="s">
        <v>91</v>
      </c>
      <c r="C22">
        <v>2995.5309999999999</v>
      </c>
      <c r="D22">
        <v>0</v>
      </c>
      <c r="E22">
        <v>4236</v>
      </c>
      <c r="F22">
        <v>6275</v>
      </c>
      <c r="G22">
        <v>0</v>
      </c>
    </row>
    <row r="23" spans="1:7" x14ac:dyDescent="0.25">
      <c r="A23" s="4" t="s">
        <v>93</v>
      </c>
      <c r="B23" s="10" t="s">
        <v>94</v>
      </c>
      <c r="C23">
        <v>291000</v>
      </c>
      <c r="D23">
        <v>25752</v>
      </c>
      <c r="E23">
        <v>33477.599999999999</v>
      </c>
      <c r="F23">
        <v>441814.4</v>
      </c>
      <c r="G23">
        <v>13000000</v>
      </c>
    </row>
    <row r="24" spans="1:7" x14ac:dyDescent="0.25">
      <c r="A24" s="4" t="s">
        <v>97</v>
      </c>
      <c r="B24" s="10" t="s">
        <v>98</v>
      </c>
      <c r="C24">
        <v>2470</v>
      </c>
      <c r="D24">
        <v>5000</v>
      </c>
      <c r="E24">
        <v>6500</v>
      </c>
      <c r="F24">
        <v>0</v>
      </c>
      <c r="G24">
        <v>360000</v>
      </c>
    </row>
    <row r="25" spans="1:7" x14ac:dyDescent="0.25">
      <c r="A25" s="4" t="s">
        <v>101</v>
      </c>
      <c r="B25" s="10" t="s">
        <v>102</v>
      </c>
      <c r="C25">
        <v>108840</v>
      </c>
      <c r="D25">
        <v>98860</v>
      </c>
      <c r="E25">
        <v>128518</v>
      </c>
      <c r="F25">
        <v>2363782</v>
      </c>
      <c r="G25">
        <v>45930350</v>
      </c>
    </row>
    <row r="26" spans="1:7" x14ac:dyDescent="0.25">
      <c r="A26" s="4" t="s">
        <v>104</v>
      </c>
      <c r="B26" s="10" t="s">
        <v>105</v>
      </c>
      <c r="C26">
        <v>24713</v>
      </c>
      <c r="D26">
        <v>0</v>
      </c>
      <c r="E26">
        <v>0</v>
      </c>
      <c r="F26">
        <v>0</v>
      </c>
      <c r="G26">
        <v>0</v>
      </c>
    </row>
    <row r="27" spans="1:7" x14ac:dyDescent="0.25">
      <c r="A27" s="4" t="s">
        <v>107</v>
      </c>
      <c r="B27" s="10" t="s">
        <v>108</v>
      </c>
      <c r="C27">
        <v>22095</v>
      </c>
      <c r="D27">
        <v>91230</v>
      </c>
      <c r="E27">
        <v>43698</v>
      </c>
      <c r="F27">
        <v>79632</v>
      </c>
      <c r="G27">
        <v>6600000</v>
      </c>
    </row>
    <row r="28" spans="1:7" x14ac:dyDescent="0.25">
      <c r="A28" s="4" t="s">
        <v>109</v>
      </c>
      <c r="B28" s="10" t="s">
        <v>110</v>
      </c>
      <c r="C28">
        <v>2008</v>
      </c>
      <c r="D28">
        <v>0</v>
      </c>
      <c r="E28">
        <v>0</v>
      </c>
      <c r="F28">
        <v>0</v>
      </c>
      <c r="G28">
        <v>0</v>
      </c>
    </row>
    <row r="29" spans="1:7" x14ac:dyDescent="0.25">
      <c r="A29" s="4" t="s">
        <v>113</v>
      </c>
      <c r="B29" s="10" t="s">
        <v>114</v>
      </c>
      <c r="C29">
        <v>905634.55398184701</v>
      </c>
      <c r="D29">
        <v>0</v>
      </c>
      <c r="E29">
        <v>0</v>
      </c>
      <c r="F29">
        <v>0</v>
      </c>
      <c r="G29">
        <v>255391</v>
      </c>
    </row>
    <row r="30" spans="1:7" x14ac:dyDescent="0.25">
      <c r="A30" s="4" t="s">
        <v>115</v>
      </c>
      <c r="B30" s="10" t="s">
        <v>116</v>
      </c>
      <c r="C30">
        <v>15</v>
      </c>
      <c r="D30">
        <v>41387</v>
      </c>
      <c r="E30">
        <v>53803.1</v>
      </c>
      <c r="F30">
        <v>0</v>
      </c>
      <c r="G30">
        <v>0</v>
      </c>
    </row>
    <row r="31" spans="1:7" x14ac:dyDescent="0.25">
      <c r="A31" s="4" t="s">
        <v>117</v>
      </c>
      <c r="B31" s="10" t="s">
        <v>118</v>
      </c>
      <c r="C31">
        <v>80162</v>
      </c>
      <c r="D31">
        <v>0</v>
      </c>
      <c r="E31">
        <v>0</v>
      </c>
      <c r="F31">
        <v>0</v>
      </c>
      <c r="G31">
        <v>2251000</v>
      </c>
    </row>
    <row r="32" spans="1:7" x14ac:dyDescent="0.25">
      <c r="A32" s="4" t="s">
        <v>119</v>
      </c>
      <c r="B32" s="10" t="s">
        <v>120</v>
      </c>
      <c r="C32">
        <v>47653</v>
      </c>
      <c r="D32">
        <v>82</v>
      </c>
      <c r="E32">
        <v>106.60000000000001</v>
      </c>
      <c r="F32">
        <v>0</v>
      </c>
      <c r="G32">
        <v>27456</v>
      </c>
    </row>
    <row r="33" spans="1:7" x14ac:dyDescent="0.25">
      <c r="A33" s="4" t="s">
        <v>125</v>
      </c>
      <c r="B33" s="10" t="s">
        <v>126</v>
      </c>
      <c r="C33">
        <v>6235</v>
      </c>
      <c r="D33">
        <v>0</v>
      </c>
      <c r="E33">
        <v>0</v>
      </c>
      <c r="F33">
        <v>0</v>
      </c>
      <c r="G33">
        <v>0</v>
      </c>
    </row>
    <row r="34" spans="1:7" x14ac:dyDescent="0.25">
      <c r="A34" s="4" t="s">
        <v>127</v>
      </c>
      <c r="B34" s="10" t="s">
        <v>128</v>
      </c>
      <c r="C34">
        <v>274</v>
      </c>
      <c r="D34">
        <v>0</v>
      </c>
      <c r="E34">
        <v>0</v>
      </c>
      <c r="F34">
        <v>0</v>
      </c>
      <c r="G34">
        <v>300000</v>
      </c>
    </row>
    <row r="35" spans="1:7" x14ac:dyDescent="0.25">
      <c r="A35" s="4" t="s">
        <v>132</v>
      </c>
      <c r="B35" s="10" t="s">
        <v>133</v>
      </c>
      <c r="C35">
        <v>2361</v>
      </c>
      <c r="D35">
        <v>0</v>
      </c>
      <c r="E35">
        <v>2136</v>
      </c>
      <c r="F35">
        <v>2283</v>
      </c>
      <c r="G35">
        <v>737000</v>
      </c>
    </row>
    <row r="36" spans="1:7" x14ac:dyDescent="0.25">
      <c r="A36" s="4" t="s">
        <v>134</v>
      </c>
      <c r="B36" s="10" t="s">
        <v>135</v>
      </c>
      <c r="C36">
        <v>12020</v>
      </c>
      <c r="D36">
        <v>25525</v>
      </c>
      <c r="E36">
        <v>33182.5</v>
      </c>
      <c r="F36">
        <v>32762.5</v>
      </c>
      <c r="G36">
        <v>349000</v>
      </c>
    </row>
    <row r="37" spans="1:7" x14ac:dyDescent="0.25">
      <c r="A37" s="4" t="s">
        <v>137</v>
      </c>
      <c r="B37" s="10" t="s">
        <v>138</v>
      </c>
      <c r="C37">
        <v>319873</v>
      </c>
      <c r="D37">
        <v>0</v>
      </c>
      <c r="E37">
        <v>0</v>
      </c>
      <c r="F37">
        <v>0</v>
      </c>
      <c r="G37">
        <v>3000000</v>
      </c>
    </row>
    <row r="38" spans="1:7" x14ac:dyDescent="0.25">
      <c r="A38" s="4" t="s">
        <v>140</v>
      </c>
      <c r="B38" s="10" t="s">
        <v>141</v>
      </c>
      <c r="C38">
        <v>109622</v>
      </c>
      <c r="D38">
        <v>0</v>
      </c>
      <c r="E38">
        <v>0</v>
      </c>
      <c r="F38">
        <v>0</v>
      </c>
      <c r="G38">
        <v>0</v>
      </c>
    </row>
    <row r="39" spans="1:7" x14ac:dyDescent="0.25">
      <c r="A39" s="4" t="s">
        <v>142</v>
      </c>
      <c r="B39" s="10" t="s">
        <v>143</v>
      </c>
      <c r="C39">
        <v>200</v>
      </c>
      <c r="D39">
        <v>1617</v>
      </c>
      <c r="E39">
        <v>2102.1</v>
      </c>
      <c r="F39">
        <v>0</v>
      </c>
      <c r="G39">
        <v>7189548</v>
      </c>
    </row>
    <row r="40" spans="1:7" x14ac:dyDescent="0.25">
      <c r="A40" s="4" t="s">
        <v>144</v>
      </c>
      <c r="B40" s="10" t="s">
        <v>145</v>
      </c>
      <c r="C40">
        <v>588252</v>
      </c>
      <c r="D40">
        <v>0</v>
      </c>
      <c r="E40">
        <v>0</v>
      </c>
      <c r="F40">
        <v>0</v>
      </c>
      <c r="G40">
        <v>0</v>
      </c>
    </row>
    <row r="41" spans="1:7" x14ac:dyDescent="0.25">
      <c r="A41" s="4" t="s">
        <v>146</v>
      </c>
      <c r="B41" s="10" t="s">
        <v>147</v>
      </c>
      <c r="C41">
        <v>1126951</v>
      </c>
      <c r="D41">
        <v>0</v>
      </c>
      <c r="E41">
        <v>0</v>
      </c>
      <c r="F41">
        <v>0</v>
      </c>
      <c r="G41">
        <v>300000</v>
      </c>
    </row>
    <row r="42" spans="1:7" x14ac:dyDescent="0.25">
      <c r="A42" s="4" t="s">
        <v>152</v>
      </c>
      <c r="B42" s="10" t="s">
        <v>153</v>
      </c>
      <c r="C42">
        <v>16253</v>
      </c>
      <c r="D42">
        <v>5200</v>
      </c>
      <c r="E42">
        <v>6760</v>
      </c>
      <c r="F42">
        <v>0</v>
      </c>
      <c r="G42">
        <v>0</v>
      </c>
    </row>
    <row r="43" spans="1:7" x14ac:dyDescent="0.25">
      <c r="A43" s="4" t="s">
        <v>154</v>
      </c>
      <c r="B43" s="10" t="s">
        <v>155</v>
      </c>
      <c r="C43">
        <v>35413</v>
      </c>
      <c r="D43">
        <v>23658</v>
      </c>
      <c r="E43">
        <v>23654</v>
      </c>
      <c r="F43">
        <v>0</v>
      </c>
      <c r="G43">
        <v>0</v>
      </c>
    </row>
    <row r="44" spans="1:7" x14ac:dyDescent="0.25">
      <c r="A44" s="4" t="s">
        <v>156</v>
      </c>
      <c r="B44" s="10" t="s">
        <v>157</v>
      </c>
      <c r="C44">
        <v>116</v>
      </c>
      <c r="D44">
        <v>105</v>
      </c>
      <c r="E44">
        <v>136.5</v>
      </c>
      <c r="F44">
        <v>11.5</v>
      </c>
      <c r="G44">
        <v>0</v>
      </c>
    </row>
    <row r="45" spans="1:7" x14ac:dyDescent="0.25">
      <c r="A45" s="4" t="s">
        <v>158</v>
      </c>
      <c r="B45" s="10" t="s">
        <v>159</v>
      </c>
      <c r="C45">
        <v>1123</v>
      </c>
      <c r="D45">
        <v>0</v>
      </c>
      <c r="E45">
        <v>0</v>
      </c>
      <c r="F45">
        <v>0</v>
      </c>
      <c r="G45">
        <v>733000</v>
      </c>
    </row>
    <row r="46" spans="1:7" x14ac:dyDescent="0.25">
      <c r="A46" s="4" t="s">
        <v>161</v>
      </c>
      <c r="B46" s="10" t="s">
        <v>162</v>
      </c>
      <c r="C46">
        <v>807974</v>
      </c>
      <c r="D46">
        <v>2039</v>
      </c>
      <c r="E46">
        <v>2650.7000000000003</v>
      </c>
      <c r="F46">
        <v>324095.30000000005</v>
      </c>
      <c r="G46">
        <v>0</v>
      </c>
    </row>
    <row r="47" spans="1:7" x14ac:dyDescent="0.25">
      <c r="A47" s="4" t="s">
        <v>165</v>
      </c>
      <c r="B47" s="10" t="s">
        <v>166</v>
      </c>
      <c r="C47">
        <v>29287</v>
      </c>
      <c r="D47">
        <v>8000</v>
      </c>
      <c r="E47">
        <v>10400</v>
      </c>
      <c r="F47">
        <v>16556</v>
      </c>
      <c r="G47">
        <v>3600000</v>
      </c>
    </row>
    <row r="48" spans="1:7" x14ac:dyDescent="0.25">
      <c r="A48" s="4" t="s">
        <v>169</v>
      </c>
      <c r="B48" s="10" t="s">
        <v>170</v>
      </c>
      <c r="C48">
        <v>863072</v>
      </c>
      <c r="D48">
        <v>1679</v>
      </c>
      <c r="E48">
        <v>2182.7000000000003</v>
      </c>
      <c r="F48">
        <v>197838.30000000005</v>
      </c>
      <c r="G48">
        <v>0</v>
      </c>
    </row>
    <row r="49" spans="1:7" x14ac:dyDescent="0.25">
      <c r="A49" s="4" t="s">
        <v>171</v>
      </c>
      <c r="B49" s="10" t="s">
        <v>172</v>
      </c>
      <c r="C49">
        <v>236</v>
      </c>
      <c r="D49">
        <v>1112</v>
      </c>
      <c r="E49">
        <v>1445.6000000000001</v>
      </c>
      <c r="F49">
        <v>0</v>
      </c>
      <c r="G49">
        <v>0</v>
      </c>
    </row>
    <row r="50" spans="1:7" x14ac:dyDescent="0.25">
      <c r="A50" s="4" t="s">
        <v>173</v>
      </c>
      <c r="B50" s="10" t="s">
        <v>174</v>
      </c>
      <c r="C50">
        <v>338000</v>
      </c>
      <c r="D50">
        <v>49</v>
      </c>
      <c r="E50">
        <v>63.7</v>
      </c>
      <c r="F50">
        <v>18887.299999999988</v>
      </c>
      <c r="G50">
        <v>0</v>
      </c>
    </row>
    <row r="51" spans="1:7" x14ac:dyDescent="0.25">
      <c r="A51" s="4" t="s">
        <v>178</v>
      </c>
      <c r="B51" s="10" t="s">
        <v>179</v>
      </c>
      <c r="C51">
        <v>265</v>
      </c>
      <c r="D51">
        <v>907</v>
      </c>
      <c r="E51">
        <v>1179.1000000000001</v>
      </c>
      <c r="F51">
        <v>12168.9</v>
      </c>
      <c r="G51">
        <v>0</v>
      </c>
    </row>
    <row r="52" spans="1:7" x14ac:dyDescent="0.25">
      <c r="A52" s="4" t="s">
        <v>180</v>
      </c>
      <c r="B52" s="10" t="s">
        <v>181</v>
      </c>
      <c r="C52">
        <v>1672</v>
      </c>
      <c r="D52">
        <v>0</v>
      </c>
      <c r="E52">
        <v>0</v>
      </c>
      <c r="F52">
        <v>0</v>
      </c>
      <c r="G52">
        <v>530000</v>
      </c>
    </row>
    <row r="53" spans="1:7" x14ac:dyDescent="0.25">
      <c r="A53" s="4" t="s">
        <v>187</v>
      </c>
      <c r="B53" s="10" t="s">
        <v>188</v>
      </c>
      <c r="C53">
        <v>0</v>
      </c>
      <c r="D53">
        <v>0</v>
      </c>
      <c r="E53">
        <v>0</v>
      </c>
      <c r="F53">
        <v>1256</v>
      </c>
      <c r="G53">
        <v>0</v>
      </c>
    </row>
    <row r="54" spans="1:7" x14ac:dyDescent="0.25">
      <c r="A54" s="4" t="s">
        <v>189</v>
      </c>
      <c r="B54" s="10" t="s">
        <v>190</v>
      </c>
      <c r="C54">
        <v>70000</v>
      </c>
      <c r="D54">
        <v>1700</v>
      </c>
      <c r="E54">
        <v>2210</v>
      </c>
      <c r="F54">
        <v>31090</v>
      </c>
      <c r="G54">
        <v>0</v>
      </c>
    </row>
    <row r="55" spans="1:7" x14ac:dyDescent="0.25">
      <c r="A55" s="4" t="s">
        <v>193</v>
      </c>
      <c r="B55" s="10" t="s">
        <v>194</v>
      </c>
      <c r="C55">
        <v>0</v>
      </c>
      <c r="D55">
        <v>0</v>
      </c>
      <c r="E55">
        <v>0</v>
      </c>
      <c r="F55">
        <v>1267</v>
      </c>
      <c r="G55">
        <v>0</v>
      </c>
    </row>
    <row r="56" spans="1:7" x14ac:dyDescent="0.25">
      <c r="A56" s="4" t="s">
        <v>202</v>
      </c>
      <c r="B56" s="10" t="s">
        <v>203</v>
      </c>
      <c r="C56">
        <v>42163</v>
      </c>
      <c r="D56">
        <v>260</v>
      </c>
      <c r="E56">
        <v>338</v>
      </c>
      <c r="F56">
        <v>133239</v>
      </c>
      <c r="G56">
        <v>2300000</v>
      </c>
    </row>
    <row r="57" spans="1:7" x14ac:dyDescent="0.25">
      <c r="A57" s="4" t="s">
        <v>204</v>
      </c>
      <c r="B57" s="10" t="s">
        <v>205</v>
      </c>
      <c r="C57">
        <v>4830</v>
      </c>
      <c r="D57">
        <v>0</v>
      </c>
      <c r="E57">
        <v>0</v>
      </c>
      <c r="F57">
        <v>0</v>
      </c>
      <c r="G57">
        <v>0</v>
      </c>
    </row>
    <row r="58" spans="1:7" x14ac:dyDescent="0.25">
      <c r="A58" s="4" t="s">
        <v>208</v>
      </c>
      <c r="B58" s="10" t="s">
        <v>209</v>
      </c>
      <c r="C58">
        <v>0</v>
      </c>
      <c r="D58">
        <v>0</v>
      </c>
      <c r="E58">
        <v>0</v>
      </c>
      <c r="F58">
        <v>984</v>
      </c>
      <c r="G58">
        <v>0</v>
      </c>
    </row>
    <row r="59" spans="1:7" x14ac:dyDescent="0.25">
      <c r="A59" s="4" t="s">
        <v>211</v>
      </c>
      <c r="B59" s="11" t="s">
        <v>212</v>
      </c>
      <c r="C59">
        <v>0</v>
      </c>
      <c r="D59">
        <v>27</v>
      </c>
      <c r="E59">
        <v>0</v>
      </c>
      <c r="F59">
        <v>0</v>
      </c>
      <c r="G59">
        <v>0</v>
      </c>
    </row>
    <row r="60" spans="1:7" x14ac:dyDescent="0.25">
      <c r="A60" s="4" t="s">
        <v>214</v>
      </c>
      <c r="B60" s="10" t="s">
        <v>215</v>
      </c>
      <c r="C60">
        <v>0</v>
      </c>
      <c r="D60">
        <v>0</v>
      </c>
      <c r="E60">
        <v>230</v>
      </c>
      <c r="F60">
        <v>0</v>
      </c>
      <c r="G60">
        <v>0</v>
      </c>
    </row>
    <row r="61" spans="1:7" x14ac:dyDescent="0.25">
      <c r="A61" s="4" t="s">
        <v>217</v>
      </c>
      <c r="B61" s="10" t="s">
        <v>218</v>
      </c>
      <c r="C61">
        <v>100600</v>
      </c>
      <c r="D61">
        <v>11509</v>
      </c>
      <c r="E61">
        <v>14961.7</v>
      </c>
      <c r="F61">
        <v>209724.3</v>
      </c>
      <c r="G61">
        <v>10032409</v>
      </c>
    </row>
    <row r="62" spans="1:7" x14ac:dyDescent="0.25">
      <c r="A62" s="4" t="s">
        <v>219</v>
      </c>
      <c r="B62" s="10" t="s">
        <v>220</v>
      </c>
      <c r="C62">
        <v>83600</v>
      </c>
      <c r="D62">
        <v>278</v>
      </c>
      <c r="E62">
        <v>361.40000000000003</v>
      </c>
      <c r="F62">
        <v>157060.6</v>
      </c>
      <c r="G62">
        <v>19034495</v>
      </c>
    </row>
    <row r="63" spans="1:7" x14ac:dyDescent="0.25">
      <c r="A63" s="4" t="s">
        <v>221</v>
      </c>
      <c r="B63" s="10" t="s">
        <v>222</v>
      </c>
      <c r="C63">
        <v>0</v>
      </c>
      <c r="D63">
        <v>0</v>
      </c>
      <c r="E63">
        <v>0</v>
      </c>
      <c r="F63">
        <v>1500</v>
      </c>
      <c r="G63">
        <v>0</v>
      </c>
    </row>
    <row r="64" spans="1:7" x14ac:dyDescent="0.25">
      <c r="A64" s="4" t="s">
        <v>223</v>
      </c>
      <c r="B64" s="10" t="s">
        <v>224</v>
      </c>
      <c r="C64">
        <v>668193</v>
      </c>
      <c r="D64">
        <v>0</v>
      </c>
      <c r="E64">
        <v>0</v>
      </c>
      <c r="F64">
        <v>0</v>
      </c>
      <c r="G64">
        <v>10400000</v>
      </c>
    </row>
    <row r="65" spans="1:7" x14ac:dyDescent="0.25">
      <c r="A65" s="4" t="s">
        <v>226</v>
      </c>
      <c r="B65" s="10" t="s">
        <v>227</v>
      </c>
      <c r="C65">
        <v>2733</v>
      </c>
      <c r="D65">
        <v>0</v>
      </c>
      <c r="E65">
        <v>0</v>
      </c>
      <c r="F65">
        <v>0</v>
      </c>
      <c r="G65">
        <v>0</v>
      </c>
    </row>
    <row r="66" spans="1:7" x14ac:dyDescent="0.25">
      <c r="A66" s="4" t="s">
        <v>230</v>
      </c>
      <c r="B66" s="10" t="s">
        <v>231</v>
      </c>
      <c r="C66">
        <v>963</v>
      </c>
      <c r="D66">
        <v>0</v>
      </c>
      <c r="E66">
        <v>0</v>
      </c>
      <c r="F66">
        <v>0</v>
      </c>
      <c r="G66">
        <v>60000000</v>
      </c>
    </row>
    <row r="67" spans="1:7" x14ac:dyDescent="0.25">
      <c r="A67" s="4" t="s">
        <v>233</v>
      </c>
      <c r="B67" s="10" t="s">
        <v>234</v>
      </c>
      <c r="C67">
        <v>12282</v>
      </c>
      <c r="D67">
        <v>0</v>
      </c>
      <c r="E67">
        <v>0</v>
      </c>
      <c r="F67">
        <v>0</v>
      </c>
      <c r="G67">
        <v>60000</v>
      </c>
    </row>
    <row r="68" spans="1:7" x14ac:dyDescent="0.25">
      <c r="A68" s="4" t="s">
        <v>235</v>
      </c>
      <c r="B68" s="10" t="s">
        <v>236</v>
      </c>
      <c r="C68">
        <v>5700</v>
      </c>
      <c r="D68">
        <v>1009</v>
      </c>
      <c r="E68">
        <v>1311.7</v>
      </c>
      <c r="F68">
        <v>0</v>
      </c>
      <c r="G68">
        <v>0</v>
      </c>
    </row>
    <row r="69" spans="1:7" x14ac:dyDescent="0.25">
      <c r="A69" s="4" t="s">
        <v>237</v>
      </c>
      <c r="B69" s="10" t="s">
        <v>238</v>
      </c>
      <c r="C69">
        <v>473273</v>
      </c>
      <c r="D69">
        <v>6800</v>
      </c>
      <c r="E69">
        <v>8840</v>
      </c>
      <c r="F69">
        <v>0</v>
      </c>
      <c r="G69">
        <v>88690000</v>
      </c>
    </row>
    <row r="70" spans="1:7" x14ac:dyDescent="0.25">
      <c r="A70" s="4" t="s">
        <v>240</v>
      </c>
      <c r="B70" s="10" t="s">
        <v>241</v>
      </c>
      <c r="C70">
        <v>63000</v>
      </c>
      <c r="D70">
        <v>1500</v>
      </c>
      <c r="E70">
        <v>1950</v>
      </c>
      <c r="F70">
        <v>233550</v>
      </c>
      <c r="G70">
        <v>0</v>
      </c>
    </row>
    <row r="71" spans="1:7" x14ac:dyDescent="0.25">
      <c r="A71" s="4" t="s">
        <v>248</v>
      </c>
      <c r="B71" s="10" t="s">
        <v>249</v>
      </c>
      <c r="C71">
        <v>0</v>
      </c>
      <c r="D71">
        <v>0</v>
      </c>
      <c r="E71">
        <v>227</v>
      </c>
      <c r="F71">
        <v>0</v>
      </c>
      <c r="G71">
        <v>0</v>
      </c>
    </row>
    <row r="72" spans="1:7" x14ac:dyDescent="0.25">
      <c r="A72" s="4" t="s">
        <v>250</v>
      </c>
      <c r="B72" s="10" t="s">
        <v>251</v>
      </c>
      <c r="C72">
        <v>0</v>
      </c>
      <c r="D72">
        <v>0</v>
      </c>
      <c r="E72">
        <v>202</v>
      </c>
      <c r="F72">
        <v>0</v>
      </c>
      <c r="G72">
        <v>0</v>
      </c>
    </row>
    <row r="73" spans="1:7" x14ac:dyDescent="0.25">
      <c r="A73" s="4" t="s">
        <v>258</v>
      </c>
      <c r="B73" s="10" t="s">
        <v>259</v>
      </c>
      <c r="C73">
        <v>2370.0356582899999</v>
      </c>
      <c r="D73">
        <v>149</v>
      </c>
      <c r="E73">
        <v>193.70000000000002</v>
      </c>
      <c r="F73">
        <v>95623.264341710004</v>
      </c>
      <c r="G73">
        <v>0</v>
      </c>
    </row>
    <row r="74" spans="1:7" x14ac:dyDescent="0.25">
      <c r="A74" s="4" t="s">
        <v>263</v>
      </c>
      <c r="B74" s="10" t="s">
        <v>264</v>
      </c>
      <c r="C74">
        <v>600</v>
      </c>
      <c r="D74">
        <v>244</v>
      </c>
      <c r="E74">
        <v>317.2</v>
      </c>
      <c r="F74">
        <v>0</v>
      </c>
      <c r="G74">
        <v>0</v>
      </c>
    </row>
    <row r="75" spans="1:7" x14ac:dyDescent="0.25">
      <c r="A75" s="4" t="s">
        <v>266</v>
      </c>
      <c r="B75" s="10" t="s">
        <v>267</v>
      </c>
      <c r="C75">
        <v>6300</v>
      </c>
      <c r="D75">
        <v>175</v>
      </c>
      <c r="E75">
        <v>227.5</v>
      </c>
      <c r="F75">
        <v>68476.5</v>
      </c>
      <c r="G75">
        <v>306000</v>
      </c>
    </row>
    <row r="76" spans="1:7" x14ac:dyDescent="0.25">
      <c r="A76" s="4" t="s">
        <v>268</v>
      </c>
      <c r="B76" s="10" t="s">
        <v>269</v>
      </c>
      <c r="C76">
        <v>311782</v>
      </c>
      <c r="D76">
        <v>16</v>
      </c>
      <c r="E76">
        <v>20.8</v>
      </c>
      <c r="F76">
        <v>16576.200000000012</v>
      </c>
      <c r="G76">
        <v>0</v>
      </c>
    </row>
    <row r="77" spans="1:7" x14ac:dyDescent="0.25">
      <c r="A77" s="4" t="s">
        <v>271</v>
      </c>
      <c r="B77" s="10" t="s">
        <v>272</v>
      </c>
      <c r="C77">
        <v>173620</v>
      </c>
      <c r="D77">
        <v>120</v>
      </c>
      <c r="E77">
        <v>156</v>
      </c>
      <c r="F77">
        <v>117634</v>
      </c>
      <c r="G77">
        <v>3074000</v>
      </c>
    </row>
    <row r="78" spans="1:7" x14ac:dyDescent="0.25">
      <c r="A78" s="4" t="s">
        <v>273</v>
      </c>
      <c r="B78" s="12" t="s">
        <v>274</v>
      </c>
      <c r="C78">
        <v>0</v>
      </c>
      <c r="D78">
        <v>0</v>
      </c>
      <c r="E78">
        <v>0</v>
      </c>
      <c r="F78">
        <v>392</v>
      </c>
      <c r="G78">
        <v>0</v>
      </c>
    </row>
    <row r="79" spans="1:7" x14ac:dyDescent="0.25">
      <c r="A79" s="4" t="s">
        <v>277</v>
      </c>
      <c r="B79" s="10" t="s">
        <v>278</v>
      </c>
      <c r="C79">
        <v>59820</v>
      </c>
      <c r="D79">
        <v>1838</v>
      </c>
      <c r="E79">
        <v>2389.4</v>
      </c>
      <c r="F79">
        <v>0</v>
      </c>
      <c r="G79">
        <v>180000</v>
      </c>
    </row>
    <row r="80" spans="1:7" x14ac:dyDescent="0.25">
      <c r="A80" s="4" t="s">
        <v>281</v>
      </c>
      <c r="B80" s="10" t="s">
        <v>282</v>
      </c>
      <c r="C80">
        <v>3285</v>
      </c>
      <c r="D80">
        <v>361</v>
      </c>
      <c r="E80">
        <v>469.3</v>
      </c>
      <c r="F80">
        <v>16487.7</v>
      </c>
      <c r="G80">
        <v>30000</v>
      </c>
    </row>
  </sheetData>
  <sortState xmlns:xlrd2="http://schemas.microsoft.com/office/spreadsheetml/2017/richdata2" ref="A2:G80">
    <sortCondition ref="A1:A8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D2E6-F5AF-45D7-8019-7FAF04A0050C}">
  <dimension ref="A1:G82"/>
  <sheetViews>
    <sheetView workbookViewId="0">
      <selection activeCell="L13" sqref="L13"/>
    </sheetView>
  </sheetViews>
  <sheetFormatPr defaultRowHeight="15" x14ac:dyDescent="0.25"/>
  <cols>
    <col min="1" max="2" width="14.5703125" style="21" customWidth="1"/>
    <col min="3" max="3" width="14.85546875" style="27" bestFit="1" customWidth="1"/>
    <col min="4" max="4" width="71" style="22" customWidth="1"/>
    <col min="5" max="5" width="17.28515625" style="14" bestFit="1" customWidth="1"/>
    <col min="6" max="6" width="14.42578125" style="14" bestFit="1" customWidth="1"/>
    <col min="7" max="7" width="12.28515625" customWidth="1"/>
  </cols>
  <sheetData>
    <row r="1" spans="1:7" ht="60.75" thickBot="1" x14ac:dyDescent="0.3">
      <c r="A1" s="17" t="s">
        <v>303</v>
      </c>
      <c r="B1" s="18" t="s">
        <v>0</v>
      </c>
      <c r="C1" s="15" t="s">
        <v>484</v>
      </c>
      <c r="D1" s="2" t="s">
        <v>546</v>
      </c>
      <c r="E1" s="2" t="s">
        <v>385</v>
      </c>
      <c r="F1" s="2" t="s">
        <v>386</v>
      </c>
      <c r="G1" s="2" t="s">
        <v>547</v>
      </c>
    </row>
    <row r="2" spans="1:7" ht="15.75" thickBot="1" x14ac:dyDescent="0.3">
      <c r="A2" s="19" t="s">
        <v>304</v>
      </c>
      <c r="B2" s="4" t="s">
        <v>13</v>
      </c>
      <c r="C2" s="26" t="s">
        <v>510</v>
      </c>
      <c r="D2" s="5" t="s">
        <v>25</v>
      </c>
      <c r="E2" s="23"/>
      <c r="F2" s="23">
        <v>41760</v>
      </c>
      <c r="G2">
        <v>0</v>
      </c>
    </row>
    <row r="3" spans="1:7" ht="15.75" thickBot="1" x14ac:dyDescent="0.3">
      <c r="A3" s="8" t="s">
        <v>305</v>
      </c>
      <c r="B3" s="20" t="s">
        <v>20</v>
      </c>
      <c r="C3" s="26" t="s">
        <v>506</v>
      </c>
      <c r="D3" s="5" t="s">
        <v>451</v>
      </c>
      <c r="E3" s="23"/>
      <c r="F3" s="23">
        <v>42092</v>
      </c>
      <c r="G3">
        <v>0</v>
      </c>
    </row>
    <row r="4" spans="1:7" ht="15.75" thickBot="1" x14ac:dyDescent="0.3">
      <c r="A4" s="8" t="s">
        <v>306</v>
      </c>
      <c r="B4" s="4" t="s">
        <v>23</v>
      </c>
      <c r="C4" s="26" t="s">
        <v>519</v>
      </c>
      <c r="D4" s="5" t="s">
        <v>454</v>
      </c>
      <c r="E4" s="23"/>
      <c r="F4" s="23">
        <v>40452</v>
      </c>
      <c r="G4">
        <v>0</v>
      </c>
    </row>
    <row r="5" spans="1:7" ht="15.75" thickBot="1" x14ac:dyDescent="0.3">
      <c r="A5" s="8" t="s">
        <v>307</v>
      </c>
      <c r="B5" s="20" t="s">
        <v>26</v>
      </c>
      <c r="C5" s="26" t="s">
        <v>538</v>
      </c>
      <c r="D5" s="5" t="s">
        <v>448</v>
      </c>
      <c r="E5" s="23"/>
      <c r="F5" s="23">
        <v>41729</v>
      </c>
      <c r="G5">
        <v>72</v>
      </c>
    </row>
    <row r="6" spans="1:7" ht="15.75" thickBot="1" x14ac:dyDescent="0.3">
      <c r="A6" s="8" t="s">
        <v>308</v>
      </c>
      <c r="B6" s="4" t="s">
        <v>35</v>
      </c>
      <c r="C6" s="26" t="s">
        <v>496</v>
      </c>
      <c r="D6" s="5" t="s">
        <v>456</v>
      </c>
      <c r="E6" s="23"/>
      <c r="F6" s="23"/>
      <c r="G6">
        <v>51261</v>
      </c>
    </row>
    <row r="7" spans="1:7" ht="15.75" thickBot="1" x14ac:dyDescent="0.3">
      <c r="A7" s="8" t="s">
        <v>309</v>
      </c>
      <c r="B7" s="4" t="s">
        <v>37</v>
      </c>
      <c r="C7" s="26" t="s">
        <v>514</v>
      </c>
      <c r="D7" s="5" t="s">
        <v>449</v>
      </c>
      <c r="E7" s="23">
        <v>40391</v>
      </c>
      <c r="F7" s="23">
        <v>40391</v>
      </c>
      <c r="G7">
        <v>36411</v>
      </c>
    </row>
    <row r="8" spans="1:7" ht="15.75" thickBot="1" x14ac:dyDescent="0.3">
      <c r="A8" s="8" t="s">
        <v>310</v>
      </c>
      <c r="B8" s="20" t="s">
        <v>43</v>
      </c>
      <c r="C8" s="26" t="s">
        <v>542</v>
      </c>
      <c r="D8" s="5" t="s">
        <v>458</v>
      </c>
      <c r="E8" s="23">
        <v>40452</v>
      </c>
      <c r="F8" s="23">
        <v>41090</v>
      </c>
      <c r="G8">
        <v>217</v>
      </c>
    </row>
    <row r="9" spans="1:7" ht="15.75" thickBot="1" x14ac:dyDescent="0.3">
      <c r="A9" s="8" t="s">
        <v>311</v>
      </c>
      <c r="B9" s="4" t="s">
        <v>45</v>
      </c>
      <c r="C9" s="26" t="s">
        <v>497</v>
      </c>
      <c r="D9" s="5" t="s">
        <v>452</v>
      </c>
      <c r="E9" s="23"/>
      <c r="F9" s="23">
        <v>40408</v>
      </c>
      <c r="G9">
        <v>1925</v>
      </c>
    </row>
    <row r="10" spans="1:7" ht="15.75" thickBot="1" x14ac:dyDescent="0.3">
      <c r="A10" s="8" t="s">
        <v>312</v>
      </c>
      <c r="B10" s="20" t="s">
        <v>51</v>
      </c>
      <c r="C10" s="26" t="s">
        <v>517</v>
      </c>
      <c r="D10" s="5" t="s">
        <v>448</v>
      </c>
      <c r="E10" s="23"/>
      <c r="F10" s="23">
        <v>40482</v>
      </c>
      <c r="G10">
        <v>0</v>
      </c>
    </row>
    <row r="11" spans="1:7" ht="15.75" thickBot="1" x14ac:dyDescent="0.3">
      <c r="A11" s="8" t="s">
        <v>313</v>
      </c>
      <c r="B11" s="4" t="s">
        <v>55</v>
      </c>
      <c r="C11" s="26" t="s">
        <v>514</v>
      </c>
      <c r="D11" s="5" t="s">
        <v>448</v>
      </c>
      <c r="E11" s="23"/>
      <c r="F11" s="23">
        <v>40847</v>
      </c>
      <c r="G11">
        <v>7619</v>
      </c>
    </row>
    <row r="12" spans="1:7" ht="15.75" thickBot="1" x14ac:dyDescent="0.3">
      <c r="A12" s="8" t="s">
        <v>314</v>
      </c>
      <c r="B12" s="20" t="s">
        <v>61</v>
      </c>
      <c r="C12" s="26" t="s">
        <v>514</v>
      </c>
      <c r="D12" s="5" t="s">
        <v>449</v>
      </c>
      <c r="E12" s="23"/>
      <c r="F12" s="23">
        <v>40643</v>
      </c>
      <c r="G12">
        <v>0</v>
      </c>
    </row>
    <row r="13" spans="1:7" ht="26.45" customHeight="1" thickBot="1" x14ac:dyDescent="0.3">
      <c r="A13" s="8" t="s">
        <v>315</v>
      </c>
      <c r="B13" s="4" t="s">
        <v>63</v>
      </c>
      <c r="C13" s="26" t="s">
        <v>514</v>
      </c>
      <c r="D13" s="5" t="s">
        <v>448</v>
      </c>
      <c r="E13" s="23"/>
      <c r="F13" s="23">
        <v>40422</v>
      </c>
      <c r="G13">
        <v>0</v>
      </c>
    </row>
    <row r="14" spans="1:7" ht="15.75" thickBot="1" x14ac:dyDescent="0.3">
      <c r="A14" s="8" t="s">
        <v>316</v>
      </c>
      <c r="B14" s="20" t="s">
        <v>67</v>
      </c>
      <c r="C14" s="26" t="s">
        <v>514</v>
      </c>
      <c r="D14" s="5" t="s">
        <v>448</v>
      </c>
      <c r="E14" s="23"/>
      <c r="F14" s="23"/>
      <c r="G14">
        <v>0</v>
      </c>
    </row>
    <row r="15" spans="1:7" ht="15.75" thickBot="1" x14ac:dyDescent="0.3">
      <c r="A15" s="8" t="s">
        <v>317</v>
      </c>
      <c r="B15" s="4" t="s">
        <v>69</v>
      </c>
      <c r="C15" s="26" t="s">
        <v>523</v>
      </c>
      <c r="D15" s="5" t="s">
        <v>448</v>
      </c>
      <c r="E15" s="23"/>
      <c r="F15" s="23">
        <v>40999</v>
      </c>
      <c r="G15">
        <v>3229</v>
      </c>
    </row>
    <row r="16" spans="1:7" ht="15.75" thickBot="1" x14ac:dyDescent="0.3">
      <c r="A16" s="8" t="s">
        <v>318</v>
      </c>
      <c r="B16" s="20" t="s">
        <v>71</v>
      </c>
      <c r="C16" s="26" t="s">
        <v>488</v>
      </c>
      <c r="D16" s="5" t="s">
        <v>448</v>
      </c>
      <c r="E16" s="23">
        <v>40391</v>
      </c>
      <c r="F16" s="23"/>
      <c r="G16">
        <v>381</v>
      </c>
    </row>
    <row r="17" spans="1:7" ht="15.75" thickBot="1" x14ac:dyDescent="0.3">
      <c r="A17" s="8" t="s">
        <v>319</v>
      </c>
      <c r="B17" s="4" t="s">
        <v>75</v>
      </c>
      <c r="C17" s="26" t="s">
        <v>298</v>
      </c>
      <c r="D17" s="5" t="s">
        <v>448</v>
      </c>
      <c r="E17" s="23">
        <v>40680</v>
      </c>
      <c r="F17" s="23"/>
      <c r="G17">
        <v>3000</v>
      </c>
    </row>
    <row r="18" spans="1:7" ht="15.75" thickBot="1" x14ac:dyDescent="0.3">
      <c r="A18" s="8" t="s">
        <v>320</v>
      </c>
      <c r="B18" s="20" t="s">
        <v>80</v>
      </c>
      <c r="C18" s="26" t="s">
        <v>514</v>
      </c>
      <c r="D18" s="5" t="s">
        <v>476</v>
      </c>
      <c r="E18" s="23"/>
      <c r="F18" s="23">
        <v>40634</v>
      </c>
      <c r="G18">
        <v>0</v>
      </c>
    </row>
    <row r="19" spans="1:7" ht="15.75" thickBot="1" x14ac:dyDescent="0.3">
      <c r="A19" s="8" t="s">
        <v>322</v>
      </c>
      <c r="B19" s="4" t="s">
        <v>90</v>
      </c>
      <c r="C19" s="26" t="s">
        <v>513</v>
      </c>
      <c r="D19" s="5" t="s">
        <v>458</v>
      </c>
      <c r="E19" s="23"/>
      <c r="F19" s="23">
        <v>40567</v>
      </c>
      <c r="G19">
        <v>2058</v>
      </c>
    </row>
    <row r="20" spans="1:7" ht="15.75" thickBot="1" x14ac:dyDescent="0.3">
      <c r="A20" s="8" t="s">
        <v>324</v>
      </c>
      <c r="B20" s="20" t="s">
        <v>90</v>
      </c>
      <c r="C20" s="26" t="s">
        <v>485</v>
      </c>
      <c r="D20" s="5" t="s">
        <v>458</v>
      </c>
      <c r="E20" s="23"/>
      <c r="F20" s="23">
        <v>40398</v>
      </c>
      <c r="G20">
        <v>1450</v>
      </c>
    </row>
    <row r="21" spans="1:7" ht="15.75" thickBot="1" x14ac:dyDescent="0.3">
      <c r="A21" s="8" t="s">
        <v>321</v>
      </c>
      <c r="B21" s="4" t="s">
        <v>90</v>
      </c>
      <c r="C21" s="26" t="s">
        <v>513</v>
      </c>
      <c r="D21" s="5" t="s">
        <v>458</v>
      </c>
      <c r="E21" s="23"/>
      <c r="F21" s="23">
        <v>40486</v>
      </c>
      <c r="G21">
        <v>1158</v>
      </c>
    </row>
    <row r="22" spans="1:7" ht="15.75" thickBot="1" x14ac:dyDescent="0.3">
      <c r="A22" s="8" t="s">
        <v>323</v>
      </c>
      <c r="B22" s="20" t="s">
        <v>90</v>
      </c>
      <c r="C22" s="26" t="s">
        <v>485</v>
      </c>
      <c r="D22" s="5" t="s">
        <v>458</v>
      </c>
      <c r="E22" s="23">
        <v>40398</v>
      </c>
      <c r="F22" s="23">
        <v>40567</v>
      </c>
      <c r="G22">
        <v>407</v>
      </c>
    </row>
    <row r="23" spans="1:7" ht="15.75" thickBot="1" x14ac:dyDescent="0.3">
      <c r="A23" s="8" t="s">
        <v>334</v>
      </c>
      <c r="B23" s="4" t="s">
        <v>93</v>
      </c>
      <c r="C23" s="26" t="s">
        <v>541</v>
      </c>
      <c r="D23" s="5" t="s">
        <v>466</v>
      </c>
      <c r="E23" s="23"/>
      <c r="F23" s="23">
        <v>40847</v>
      </c>
      <c r="G23">
        <v>17170</v>
      </c>
    </row>
    <row r="24" spans="1:7" ht="15.75" thickBot="1" x14ac:dyDescent="0.3">
      <c r="A24" s="8" t="s">
        <v>325</v>
      </c>
      <c r="B24" s="4" t="s">
        <v>93</v>
      </c>
      <c r="C24" s="26" t="s">
        <v>528</v>
      </c>
      <c r="D24" s="5" t="s">
        <v>448</v>
      </c>
      <c r="E24" s="23"/>
      <c r="F24" s="23"/>
      <c r="G24">
        <v>0</v>
      </c>
    </row>
    <row r="25" spans="1:7" ht="15.75" thickBot="1" x14ac:dyDescent="0.3">
      <c r="A25" s="8" t="s">
        <v>326</v>
      </c>
      <c r="B25" s="20" t="s">
        <v>93</v>
      </c>
      <c r="C25" s="26" t="s">
        <v>508</v>
      </c>
      <c r="D25" s="5" t="s">
        <v>462</v>
      </c>
      <c r="E25" s="23">
        <v>40391</v>
      </c>
      <c r="F25" s="23">
        <v>41729</v>
      </c>
      <c r="G25">
        <v>0</v>
      </c>
    </row>
    <row r="26" spans="1:7" ht="15.75" thickBot="1" x14ac:dyDescent="0.3">
      <c r="A26" s="8" t="s">
        <v>327</v>
      </c>
      <c r="B26" s="4" t="s">
        <v>93</v>
      </c>
      <c r="C26" s="26" t="s">
        <v>503</v>
      </c>
      <c r="D26" s="5" t="s">
        <v>463</v>
      </c>
      <c r="E26" s="23"/>
      <c r="F26" s="23">
        <v>41346</v>
      </c>
      <c r="G26">
        <v>0</v>
      </c>
    </row>
    <row r="27" spans="1:7" ht="15.75" thickBot="1" x14ac:dyDescent="0.3">
      <c r="A27" s="8" t="s">
        <v>328</v>
      </c>
      <c r="B27" s="20" t="s">
        <v>93</v>
      </c>
      <c r="C27" s="26"/>
      <c r="D27" s="5" t="s">
        <v>477</v>
      </c>
      <c r="E27" s="23"/>
      <c r="F27" s="23">
        <v>41728</v>
      </c>
      <c r="G27">
        <v>0</v>
      </c>
    </row>
    <row r="28" spans="1:7" ht="15.75" thickBot="1" x14ac:dyDescent="0.3">
      <c r="A28" s="8" t="s">
        <v>329</v>
      </c>
      <c r="B28" s="4" t="s">
        <v>93</v>
      </c>
      <c r="C28" s="26"/>
      <c r="D28" s="5" t="s">
        <v>478</v>
      </c>
      <c r="E28" s="23"/>
      <c r="F28" s="23">
        <v>41404</v>
      </c>
      <c r="G28">
        <v>0</v>
      </c>
    </row>
    <row r="29" spans="1:7" ht="15.75" thickBot="1" x14ac:dyDescent="0.3">
      <c r="A29" s="8" t="s">
        <v>330</v>
      </c>
      <c r="B29" s="20" t="s">
        <v>93</v>
      </c>
      <c r="C29" s="26" t="s">
        <v>505</v>
      </c>
      <c r="D29" s="5" t="s">
        <v>464</v>
      </c>
      <c r="E29" s="23"/>
      <c r="F29" s="23"/>
      <c r="G29">
        <v>0</v>
      </c>
    </row>
    <row r="30" spans="1:7" ht="15.75" thickBot="1" x14ac:dyDescent="0.3">
      <c r="A30" s="8" t="s">
        <v>331</v>
      </c>
      <c r="B30" s="4" t="s">
        <v>93</v>
      </c>
      <c r="C30" s="26" t="s">
        <v>512</v>
      </c>
      <c r="D30" s="5" t="s">
        <v>465</v>
      </c>
      <c r="E30" s="23"/>
      <c r="F30" s="23"/>
      <c r="G30">
        <v>0</v>
      </c>
    </row>
    <row r="31" spans="1:7" ht="15.75" thickBot="1" x14ac:dyDescent="0.3">
      <c r="A31" s="8" t="s">
        <v>332</v>
      </c>
      <c r="B31" s="20" t="s">
        <v>93</v>
      </c>
      <c r="C31" s="26" t="s">
        <v>490</v>
      </c>
      <c r="D31" s="5" t="s">
        <v>195</v>
      </c>
      <c r="E31" s="23"/>
      <c r="F31" s="23">
        <v>41729</v>
      </c>
      <c r="G31">
        <v>0</v>
      </c>
    </row>
    <row r="32" spans="1:7" ht="15.75" thickBot="1" x14ac:dyDescent="0.3">
      <c r="A32" s="8" t="s">
        <v>333</v>
      </c>
      <c r="B32" s="4" t="s">
        <v>93</v>
      </c>
      <c r="C32" s="26" t="s">
        <v>513</v>
      </c>
      <c r="D32" s="5" t="s">
        <v>479</v>
      </c>
      <c r="E32" s="23"/>
      <c r="F32" s="23"/>
      <c r="G32">
        <v>0</v>
      </c>
    </row>
    <row r="33" spans="1:7" ht="15.75" thickBot="1" x14ac:dyDescent="0.3">
      <c r="A33" s="8" t="s">
        <v>336</v>
      </c>
      <c r="B33" s="20" t="s">
        <v>97</v>
      </c>
      <c r="C33" s="26" t="s">
        <v>513</v>
      </c>
      <c r="D33" s="5" t="s">
        <v>452</v>
      </c>
      <c r="E33" s="23"/>
      <c r="F33" s="23">
        <v>40524</v>
      </c>
      <c r="G33">
        <v>7689</v>
      </c>
    </row>
    <row r="34" spans="1:7" ht="15.75" thickBot="1" x14ac:dyDescent="0.3">
      <c r="A34" s="8" t="s">
        <v>335</v>
      </c>
      <c r="B34" s="4" t="s">
        <v>97</v>
      </c>
      <c r="C34" s="26" t="s">
        <v>485</v>
      </c>
      <c r="D34" s="5" t="s">
        <v>448</v>
      </c>
      <c r="E34" s="23"/>
      <c r="F34" s="23">
        <v>40429</v>
      </c>
      <c r="G34">
        <v>1593</v>
      </c>
    </row>
    <row r="35" spans="1:7" ht="15.75" thickBot="1" x14ac:dyDescent="0.3">
      <c r="A35" s="8" t="s">
        <v>337</v>
      </c>
      <c r="B35" s="20" t="s">
        <v>101</v>
      </c>
      <c r="C35" s="26" t="s">
        <v>525</v>
      </c>
      <c r="D35" s="5" t="s">
        <v>450</v>
      </c>
      <c r="E35" s="23"/>
      <c r="F35" s="23">
        <v>41718</v>
      </c>
      <c r="G35">
        <v>4336</v>
      </c>
    </row>
    <row r="36" spans="1:7" ht="15.75" thickBot="1" x14ac:dyDescent="0.3">
      <c r="A36" s="8" t="s">
        <v>338</v>
      </c>
      <c r="B36" s="4" t="s">
        <v>101</v>
      </c>
      <c r="C36" s="26" t="s">
        <v>298</v>
      </c>
      <c r="D36" s="5" t="s">
        <v>25</v>
      </c>
      <c r="E36" s="23"/>
      <c r="F36" s="23">
        <v>40462</v>
      </c>
      <c r="G36">
        <v>0</v>
      </c>
    </row>
    <row r="37" spans="1:7" ht="15.75" thickBot="1" x14ac:dyDescent="0.3">
      <c r="A37" s="8" t="s">
        <v>339</v>
      </c>
      <c r="B37" s="20" t="s">
        <v>104</v>
      </c>
      <c r="C37" s="26" t="s">
        <v>298</v>
      </c>
      <c r="D37" s="5" t="s">
        <v>448</v>
      </c>
      <c r="E37" s="23"/>
      <c r="F37" s="23"/>
      <c r="G37">
        <v>0</v>
      </c>
    </row>
    <row r="38" spans="1:7" ht="15.75" thickBot="1" x14ac:dyDescent="0.3">
      <c r="A38" s="8" t="s">
        <v>340</v>
      </c>
      <c r="B38" s="4" t="s">
        <v>107</v>
      </c>
      <c r="C38" s="26" t="s">
        <v>298</v>
      </c>
      <c r="D38" s="5" t="s">
        <v>25</v>
      </c>
      <c r="E38" s="23">
        <v>41029</v>
      </c>
      <c r="F38" s="23">
        <v>41729</v>
      </c>
      <c r="G38">
        <v>0</v>
      </c>
    </row>
    <row r="39" spans="1:7" ht="15.75" thickBot="1" x14ac:dyDescent="0.3">
      <c r="A39" s="8" t="s">
        <v>341</v>
      </c>
      <c r="B39" s="20" t="s">
        <v>107</v>
      </c>
      <c r="C39" s="26" t="s">
        <v>298</v>
      </c>
      <c r="D39" s="5" t="s">
        <v>25</v>
      </c>
      <c r="E39" s="23">
        <v>41578</v>
      </c>
      <c r="F39" s="23">
        <v>41882</v>
      </c>
      <c r="G39">
        <v>0</v>
      </c>
    </row>
    <row r="40" spans="1:7" ht="15.75" thickBot="1" x14ac:dyDescent="0.3">
      <c r="A40" s="8" t="s">
        <v>342</v>
      </c>
      <c r="B40" s="4" t="s">
        <v>107</v>
      </c>
      <c r="C40" s="26" t="s">
        <v>298</v>
      </c>
      <c r="D40" s="5" t="s">
        <v>25</v>
      </c>
      <c r="E40" s="23">
        <v>41333</v>
      </c>
      <c r="F40" s="23">
        <v>42058</v>
      </c>
      <c r="G40">
        <v>0</v>
      </c>
    </row>
    <row r="41" spans="1:7" ht="15.75" thickBot="1" x14ac:dyDescent="0.3">
      <c r="A41" s="8" t="s">
        <v>346</v>
      </c>
      <c r="B41" s="20" t="s">
        <v>117</v>
      </c>
      <c r="C41" s="26" t="s">
        <v>485</v>
      </c>
      <c r="D41" s="5" t="s">
        <v>448</v>
      </c>
      <c r="E41" s="23"/>
      <c r="F41" s="23">
        <v>40349</v>
      </c>
      <c r="G41">
        <v>1453</v>
      </c>
    </row>
    <row r="42" spans="1:7" ht="15.75" thickBot="1" x14ac:dyDescent="0.3">
      <c r="A42" s="8" t="s">
        <v>345</v>
      </c>
      <c r="B42" s="20" t="s">
        <v>117</v>
      </c>
      <c r="C42" s="26" t="s">
        <v>513</v>
      </c>
      <c r="D42" s="5" t="s">
        <v>448</v>
      </c>
      <c r="E42" s="23"/>
      <c r="F42" s="23">
        <v>40359</v>
      </c>
      <c r="G42">
        <v>106</v>
      </c>
    </row>
    <row r="43" spans="1:7" ht="15.75" thickBot="1" x14ac:dyDescent="0.3">
      <c r="A43" s="8" t="s">
        <v>344</v>
      </c>
      <c r="B43" s="20" t="s">
        <v>117</v>
      </c>
      <c r="C43" s="26" t="s">
        <v>513</v>
      </c>
      <c r="D43" s="5" t="s">
        <v>448</v>
      </c>
      <c r="E43" s="23">
        <v>40359</v>
      </c>
      <c r="F43" s="23"/>
      <c r="G43">
        <v>58</v>
      </c>
    </row>
    <row r="44" spans="1:7" ht="15.75" thickBot="1" x14ac:dyDescent="0.3">
      <c r="A44" s="8" t="s">
        <v>343</v>
      </c>
      <c r="B44" s="20" t="s">
        <v>117</v>
      </c>
      <c r="C44" s="26" t="s">
        <v>513</v>
      </c>
      <c r="D44" s="5" t="s">
        <v>448</v>
      </c>
      <c r="E44" s="23"/>
      <c r="F44" s="23">
        <v>40512</v>
      </c>
      <c r="G44">
        <v>11</v>
      </c>
    </row>
    <row r="45" spans="1:7" ht="15.75" thickBot="1" x14ac:dyDescent="0.3">
      <c r="A45" s="8" t="s">
        <v>348</v>
      </c>
      <c r="B45" s="20" t="s">
        <v>119</v>
      </c>
      <c r="C45" s="26" t="s">
        <v>513</v>
      </c>
      <c r="D45" s="5" t="s">
        <v>458</v>
      </c>
      <c r="E45" s="23"/>
      <c r="F45" s="23">
        <v>40421</v>
      </c>
      <c r="G45">
        <v>2466</v>
      </c>
    </row>
    <row r="46" spans="1:7" ht="15.75" thickBot="1" x14ac:dyDescent="0.3">
      <c r="A46" s="8" t="s">
        <v>347</v>
      </c>
      <c r="B46" s="20" t="s">
        <v>119</v>
      </c>
      <c r="C46" s="26" t="s">
        <v>526</v>
      </c>
      <c r="D46" s="5" t="s">
        <v>458</v>
      </c>
      <c r="E46" s="23">
        <v>40360</v>
      </c>
      <c r="F46" s="23"/>
      <c r="G46">
        <v>0</v>
      </c>
    </row>
    <row r="47" spans="1:7" ht="15.75" thickBot="1" x14ac:dyDescent="0.3">
      <c r="A47" s="8" t="s">
        <v>349</v>
      </c>
      <c r="B47" s="20" t="s">
        <v>127</v>
      </c>
      <c r="C47" s="26" t="s">
        <v>524</v>
      </c>
      <c r="D47" s="5" t="s">
        <v>448</v>
      </c>
      <c r="E47" s="23"/>
      <c r="F47" s="23"/>
      <c r="G47">
        <v>0</v>
      </c>
    </row>
    <row r="48" spans="1:7" ht="15.75" thickBot="1" x14ac:dyDescent="0.3">
      <c r="A48" s="8" t="s">
        <v>350</v>
      </c>
      <c r="B48" s="20" t="s">
        <v>132</v>
      </c>
      <c r="C48" s="26" t="s">
        <v>298</v>
      </c>
      <c r="D48" s="5" t="s">
        <v>467</v>
      </c>
      <c r="E48" s="23"/>
      <c r="F48" s="23"/>
      <c r="G48">
        <v>0</v>
      </c>
    </row>
    <row r="49" spans="1:7" ht="15.75" thickBot="1" x14ac:dyDescent="0.3">
      <c r="A49" s="8" t="s">
        <v>351</v>
      </c>
      <c r="B49" s="20" t="s">
        <v>134</v>
      </c>
      <c r="C49" s="26" t="s">
        <v>488</v>
      </c>
      <c r="D49" s="5" t="s">
        <v>480</v>
      </c>
      <c r="E49" s="23"/>
      <c r="F49" s="23">
        <v>40892</v>
      </c>
      <c r="G49">
        <v>0</v>
      </c>
    </row>
    <row r="50" spans="1:7" ht="15.75" thickBot="1" x14ac:dyDescent="0.3">
      <c r="A50" s="8" t="s">
        <v>352</v>
      </c>
      <c r="B50" s="20" t="s">
        <v>137</v>
      </c>
      <c r="C50" s="26" t="s">
        <v>490</v>
      </c>
      <c r="D50" s="5" t="s">
        <v>448</v>
      </c>
      <c r="E50" s="23"/>
      <c r="F50" s="23"/>
      <c r="G50">
        <v>0</v>
      </c>
    </row>
    <row r="51" spans="1:7" ht="15.75" thickBot="1" x14ac:dyDescent="0.3">
      <c r="A51" s="8" t="s">
        <v>353</v>
      </c>
      <c r="B51" s="20" t="s">
        <v>140</v>
      </c>
      <c r="C51" s="26" t="s">
        <v>490</v>
      </c>
      <c r="D51" s="5" t="s">
        <v>448</v>
      </c>
      <c r="E51" s="23"/>
      <c r="F51" s="23">
        <v>41729</v>
      </c>
      <c r="G51">
        <v>0</v>
      </c>
    </row>
    <row r="52" spans="1:7" ht="15.75" thickBot="1" x14ac:dyDescent="0.3">
      <c r="A52" s="8" t="s">
        <v>354</v>
      </c>
      <c r="B52" s="20" t="s">
        <v>144</v>
      </c>
      <c r="C52" s="26" t="s">
        <v>491</v>
      </c>
      <c r="D52" s="5" t="s">
        <v>452</v>
      </c>
      <c r="E52" s="23"/>
      <c r="F52" s="23">
        <v>40633</v>
      </c>
      <c r="G52">
        <v>0</v>
      </c>
    </row>
    <row r="53" spans="1:7" ht="15.75" thickBot="1" x14ac:dyDescent="0.3">
      <c r="A53" s="8" t="s">
        <v>355</v>
      </c>
      <c r="B53" s="20" t="s">
        <v>146</v>
      </c>
      <c r="C53" s="26"/>
      <c r="D53" s="5" t="s">
        <v>25</v>
      </c>
      <c r="E53" s="23">
        <v>40714</v>
      </c>
      <c r="F53" s="23">
        <v>40999</v>
      </c>
      <c r="G53">
        <v>0</v>
      </c>
    </row>
    <row r="54" spans="1:7" ht="15.75" thickBot="1" x14ac:dyDescent="0.3">
      <c r="A54" s="8" t="s">
        <v>356</v>
      </c>
      <c r="B54" s="20" t="s">
        <v>154</v>
      </c>
      <c r="C54" s="26" t="s">
        <v>492</v>
      </c>
      <c r="D54" s="5" t="s">
        <v>475</v>
      </c>
      <c r="E54" s="23"/>
      <c r="F54" s="23">
        <v>41455</v>
      </c>
      <c r="G54">
        <v>0</v>
      </c>
    </row>
    <row r="55" spans="1:7" ht="15.75" thickBot="1" x14ac:dyDescent="0.3">
      <c r="A55" s="8" t="s">
        <v>357</v>
      </c>
      <c r="B55" s="20" t="s">
        <v>156</v>
      </c>
      <c r="C55" s="26" t="s">
        <v>502</v>
      </c>
      <c r="D55" s="5" t="s">
        <v>448</v>
      </c>
      <c r="E55" s="23"/>
      <c r="F55" s="23"/>
      <c r="G55">
        <v>0</v>
      </c>
    </row>
    <row r="56" spans="1:7" ht="15.75" thickBot="1" x14ac:dyDescent="0.3">
      <c r="A56" s="8" t="s">
        <v>358</v>
      </c>
      <c r="B56" s="20" t="s">
        <v>165</v>
      </c>
      <c r="C56" s="26" t="s">
        <v>490</v>
      </c>
      <c r="D56" s="5" t="s">
        <v>448</v>
      </c>
      <c r="E56" s="23"/>
      <c r="F56" s="23">
        <v>41455</v>
      </c>
      <c r="G56">
        <v>0</v>
      </c>
    </row>
    <row r="57" spans="1:7" ht="15.75" thickBot="1" x14ac:dyDescent="0.3">
      <c r="A57" s="8" t="s">
        <v>359</v>
      </c>
      <c r="B57" s="20" t="s">
        <v>169</v>
      </c>
      <c r="C57" s="26" t="s">
        <v>490</v>
      </c>
      <c r="D57" s="5" t="s">
        <v>448</v>
      </c>
      <c r="E57" s="23"/>
      <c r="F57" s="23">
        <v>41426</v>
      </c>
      <c r="G57">
        <v>0</v>
      </c>
    </row>
    <row r="58" spans="1:7" ht="15.75" thickBot="1" x14ac:dyDescent="0.3">
      <c r="A58" s="8" t="s">
        <v>360</v>
      </c>
      <c r="B58" s="20" t="s">
        <v>171</v>
      </c>
      <c r="C58" s="26" t="s">
        <v>490</v>
      </c>
      <c r="D58" s="5" t="s">
        <v>448</v>
      </c>
      <c r="E58" s="23"/>
      <c r="F58" s="23"/>
      <c r="G58">
        <v>0</v>
      </c>
    </row>
    <row r="59" spans="1:7" ht="15.75" thickBot="1" x14ac:dyDescent="0.3">
      <c r="A59" s="8" t="s">
        <v>361</v>
      </c>
      <c r="B59" s="20" t="s">
        <v>173</v>
      </c>
      <c r="C59" s="26" t="s">
        <v>513</v>
      </c>
      <c r="D59" s="5" t="s">
        <v>481</v>
      </c>
      <c r="E59" s="23"/>
      <c r="F59" s="23">
        <v>40953</v>
      </c>
      <c r="G59">
        <v>0</v>
      </c>
    </row>
    <row r="60" spans="1:7" ht="30.75" thickBot="1" x14ac:dyDescent="0.3">
      <c r="A60" s="8" t="s">
        <v>362</v>
      </c>
      <c r="B60" s="20" t="s">
        <v>178</v>
      </c>
      <c r="C60" s="26" t="s">
        <v>509</v>
      </c>
      <c r="D60" s="5" t="s">
        <v>470</v>
      </c>
      <c r="E60" s="23"/>
      <c r="F60" s="23">
        <v>41364</v>
      </c>
      <c r="G60">
        <v>12550</v>
      </c>
    </row>
    <row r="61" spans="1:7" ht="15.75" thickBot="1" x14ac:dyDescent="0.3">
      <c r="A61" s="8" t="s">
        <v>363</v>
      </c>
      <c r="B61" s="20" t="s">
        <v>180</v>
      </c>
      <c r="C61" s="26" t="s">
        <v>483</v>
      </c>
      <c r="D61" s="5" t="s">
        <v>448</v>
      </c>
      <c r="E61" s="23"/>
      <c r="F61" s="23">
        <v>40633</v>
      </c>
      <c r="G61">
        <v>645</v>
      </c>
    </row>
    <row r="62" spans="1:7" ht="15.75" thickBot="1" x14ac:dyDescent="0.3">
      <c r="A62" s="8" t="s">
        <v>364</v>
      </c>
      <c r="B62" s="20" t="s">
        <v>189</v>
      </c>
      <c r="C62" s="26" t="s">
        <v>534</v>
      </c>
      <c r="D62" s="5" t="s">
        <v>25</v>
      </c>
      <c r="E62" s="23"/>
      <c r="F62" s="23">
        <v>40877</v>
      </c>
      <c r="G62">
        <v>0</v>
      </c>
    </row>
    <row r="63" spans="1:7" ht="15.75" thickBot="1" x14ac:dyDescent="0.3">
      <c r="A63" s="8" t="s">
        <v>365</v>
      </c>
      <c r="B63" s="20" t="s">
        <v>202</v>
      </c>
      <c r="C63" s="26" t="s">
        <v>488</v>
      </c>
      <c r="D63" s="5" t="s">
        <v>475</v>
      </c>
      <c r="E63" s="23"/>
      <c r="F63" s="23"/>
      <c r="G63">
        <v>0</v>
      </c>
    </row>
    <row r="64" spans="1:7" ht="15.75" thickBot="1" x14ac:dyDescent="0.3">
      <c r="A64" s="8" t="s">
        <v>366</v>
      </c>
      <c r="B64" s="20" t="s">
        <v>204</v>
      </c>
      <c r="C64" s="26" t="s">
        <v>518</v>
      </c>
      <c r="D64" s="5" t="s">
        <v>448</v>
      </c>
      <c r="E64" s="23"/>
      <c r="F64" s="23"/>
      <c r="G64">
        <v>5506</v>
      </c>
    </row>
    <row r="65" spans="1:7" ht="15.75" thickBot="1" x14ac:dyDescent="0.3">
      <c r="A65" s="8" t="s">
        <v>367</v>
      </c>
      <c r="B65" s="20" t="s">
        <v>208</v>
      </c>
      <c r="C65" s="26" t="s">
        <v>510</v>
      </c>
      <c r="D65" s="5" t="s">
        <v>458</v>
      </c>
      <c r="E65" s="23"/>
      <c r="F65" s="23"/>
      <c r="G65">
        <v>984</v>
      </c>
    </row>
    <row r="66" spans="1:7" ht="15.75" thickBot="1" x14ac:dyDescent="0.3">
      <c r="A66" s="8" t="s">
        <v>368</v>
      </c>
      <c r="B66" s="20" t="s">
        <v>217</v>
      </c>
      <c r="C66" s="26" t="s">
        <v>513</v>
      </c>
      <c r="D66" s="5" t="s">
        <v>448</v>
      </c>
      <c r="E66" s="23"/>
      <c r="F66" s="23"/>
      <c r="G66">
        <v>63557</v>
      </c>
    </row>
    <row r="67" spans="1:7" ht="15.75" thickBot="1" x14ac:dyDescent="0.3">
      <c r="A67" s="8" t="s">
        <v>369</v>
      </c>
      <c r="B67" s="20" t="s">
        <v>219</v>
      </c>
      <c r="C67" s="26" t="s">
        <v>513</v>
      </c>
      <c r="D67" s="5" t="s">
        <v>448</v>
      </c>
      <c r="E67" s="23"/>
      <c r="F67" s="23"/>
      <c r="G67">
        <v>87600</v>
      </c>
    </row>
    <row r="68" spans="1:7" ht="15.75" thickBot="1" x14ac:dyDescent="0.3">
      <c r="A68" s="8" t="s">
        <v>370</v>
      </c>
      <c r="B68" s="20" t="s">
        <v>223</v>
      </c>
      <c r="C68" s="26" t="s">
        <v>510</v>
      </c>
      <c r="D68" s="5" t="s">
        <v>450</v>
      </c>
      <c r="E68" s="23"/>
      <c r="F68" s="23"/>
      <c r="G68">
        <v>498520</v>
      </c>
    </row>
    <row r="69" spans="1:7" ht="15.75" thickBot="1" x14ac:dyDescent="0.3">
      <c r="A69" s="8" t="s">
        <v>371</v>
      </c>
      <c r="B69" s="20" t="s">
        <v>223</v>
      </c>
      <c r="C69" s="26" t="s">
        <v>510</v>
      </c>
      <c r="D69" s="5" t="s">
        <v>450</v>
      </c>
      <c r="E69" s="23"/>
      <c r="F69" s="23"/>
      <c r="G69">
        <v>498520</v>
      </c>
    </row>
    <row r="70" spans="1:7" ht="15.75" thickBot="1" x14ac:dyDescent="0.3">
      <c r="A70" s="8" t="s">
        <v>372</v>
      </c>
      <c r="B70" s="20" t="s">
        <v>226</v>
      </c>
      <c r="C70" s="26"/>
      <c r="D70" s="5" t="s">
        <v>448</v>
      </c>
      <c r="E70" s="23"/>
      <c r="F70" s="23"/>
      <c r="G70">
        <v>6286</v>
      </c>
    </row>
    <row r="71" spans="1:7" ht="15.75" thickBot="1" x14ac:dyDescent="0.3">
      <c r="A71" s="8" t="s">
        <v>373</v>
      </c>
      <c r="B71" s="20" t="s">
        <v>233</v>
      </c>
      <c r="C71" s="26" t="s">
        <v>513</v>
      </c>
      <c r="D71" s="5" t="s">
        <v>448</v>
      </c>
      <c r="E71" s="23"/>
      <c r="F71" s="23"/>
      <c r="G71">
        <v>20825</v>
      </c>
    </row>
    <row r="72" spans="1:7" ht="15.75" thickBot="1" x14ac:dyDescent="0.3">
      <c r="A72" s="8" t="s">
        <v>374</v>
      </c>
      <c r="B72" s="20" t="s">
        <v>235</v>
      </c>
      <c r="C72" s="26" t="s">
        <v>497</v>
      </c>
      <c r="D72" s="5" t="s">
        <v>448</v>
      </c>
      <c r="E72" s="23"/>
      <c r="F72" s="23"/>
      <c r="G72">
        <v>5300</v>
      </c>
    </row>
    <row r="73" spans="1:7" ht="15.75" thickBot="1" x14ac:dyDescent="0.3">
      <c r="A73" s="8" t="s">
        <v>375</v>
      </c>
      <c r="B73" s="20" t="s">
        <v>237</v>
      </c>
      <c r="C73" s="26" t="s">
        <v>534</v>
      </c>
      <c r="D73" s="5" t="s">
        <v>482</v>
      </c>
      <c r="E73" s="23"/>
      <c r="F73" s="23"/>
      <c r="G73">
        <v>155036</v>
      </c>
    </row>
    <row r="74" spans="1:7" ht="15.75" thickBot="1" x14ac:dyDescent="0.3">
      <c r="A74" s="8" t="s">
        <v>376</v>
      </c>
      <c r="B74" s="20" t="s">
        <v>248</v>
      </c>
      <c r="C74" s="26" t="s">
        <v>528</v>
      </c>
      <c r="D74" s="5" t="s">
        <v>448</v>
      </c>
      <c r="E74" s="23">
        <v>40695</v>
      </c>
      <c r="F74" s="23"/>
      <c r="G74">
        <v>0</v>
      </c>
    </row>
    <row r="75" spans="1:7" ht="15.75" thickBot="1" x14ac:dyDescent="0.3">
      <c r="A75" s="8" t="s">
        <v>377</v>
      </c>
      <c r="B75" s="20" t="s">
        <v>250</v>
      </c>
      <c r="C75" s="26" t="s">
        <v>298</v>
      </c>
      <c r="D75" s="5" t="s">
        <v>475</v>
      </c>
      <c r="E75" s="23">
        <v>40330</v>
      </c>
      <c r="F75" s="23">
        <v>40724</v>
      </c>
      <c r="G75">
        <v>0</v>
      </c>
    </row>
    <row r="76" spans="1:7" ht="15.75" thickBot="1" x14ac:dyDescent="0.3">
      <c r="A76" s="8" t="s">
        <v>378</v>
      </c>
      <c r="B76" s="20" t="s">
        <v>258</v>
      </c>
      <c r="C76" s="26" t="s">
        <v>488</v>
      </c>
      <c r="D76" s="5" t="s">
        <v>450</v>
      </c>
      <c r="E76" s="23"/>
      <c r="F76" s="23">
        <v>40847</v>
      </c>
      <c r="G76">
        <v>8549.8826045000005</v>
      </c>
    </row>
    <row r="77" spans="1:7" ht="15.75" thickBot="1" x14ac:dyDescent="0.3">
      <c r="A77" s="8" t="s">
        <v>379</v>
      </c>
      <c r="B77" s="20" t="s">
        <v>263</v>
      </c>
      <c r="C77" s="26" t="s">
        <v>496</v>
      </c>
      <c r="D77" s="5" t="s">
        <v>448</v>
      </c>
      <c r="E77" s="23"/>
      <c r="F77" s="23">
        <v>41000</v>
      </c>
      <c r="G77">
        <v>0</v>
      </c>
    </row>
    <row r="78" spans="1:7" ht="15.75" thickBot="1" x14ac:dyDescent="0.3">
      <c r="A78" s="8" t="s">
        <v>380</v>
      </c>
      <c r="B78" s="20" t="s">
        <v>266</v>
      </c>
      <c r="C78" s="26" t="s">
        <v>298</v>
      </c>
      <c r="D78" s="5" t="s">
        <v>25</v>
      </c>
      <c r="E78" s="23"/>
      <c r="F78" s="23">
        <v>42005</v>
      </c>
      <c r="G78">
        <v>0</v>
      </c>
    </row>
    <row r="79" spans="1:7" ht="15.75" thickBot="1" x14ac:dyDescent="0.3">
      <c r="A79" s="8" t="s">
        <v>381</v>
      </c>
      <c r="B79" s="20" t="s">
        <v>268</v>
      </c>
      <c r="C79" s="26" t="s">
        <v>513</v>
      </c>
      <c r="D79" s="5" t="s">
        <v>448</v>
      </c>
      <c r="E79" s="23"/>
      <c r="F79" s="23"/>
      <c r="G79">
        <v>449724</v>
      </c>
    </row>
    <row r="80" spans="1:7" ht="15.75" thickBot="1" x14ac:dyDescent="0.3">
      <c r="A80" s="8" t="s">
        <v>382</v>
      </c>
      <c r="B80" s="20" t="s">
        <v>271</v>
      </c>
      <c r="C80" s="26" t="s">
        <v>538</v>
      </c>
      <c r="D80" s="5" t="s">
        <v>467</v>
      </c>
      <c r="E80" s="23"/>
      <c r="F80" s="23">
        <v>41090</v>
      </c>
      <c r="G80">
        <v>281830</v>
      </c>
    </row>
    <row r="81" spans="1:7" ht="15.75" thickBot="1" x14ac:dyDescent="0.3">
      <c r="A81" s="8" t="s">
        <v>383</v>
      </c>
      <c r="B81" s="20" t="s">
        <v>273</v>
      </c>
      <c r="C81" s="26" t="s">
        <v>538</v>
      </c>
      <c r="D81" s="5" t="s">
        <v>450</v>
      </c>
      <c r="E81" s="23">
        <v>40332</v>
      </c>
      <c r="F81" s="23"/>
      <c r="G81">
        <v>1367</v>
      </c>
    </row>
    <row r="82" spans="1:7" x14ac:dyDescent="0.25">
      <c r="A82" s="8" t="s">
        <v>384</v>
      </c>
      <c r="B82" s="20" t="s">
        <v>277</v>
      </c>
      <c r="C82" s="26" t="s">
        <v>496</v>
      </c>
      <c r="D82" s="5" t="s">
        <v>448</v>
      </c>
      <c r="E82" s="23"/>
      <c r="F82" s="23">
        <v>40543</v>
      </c>
      <c r="G82">
        <v>95</v>
      </c>
    </row>
  </sheetData>
  <autoFilter ref="A1:G82" xr:uid="{3AC7D2E6-F5AF-45D7-8019-7FAF04A0050C}">
    <sortState xmlns:xlrd2="http://schemas.microsoft.com/office/spreadsheetml/2017/richdata2" ref="A2:G82">
      <sortCondition ref="B1:B82"/>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6E47-4B1E-41D9-B08B-E77335C3D209}">
  <dimension ref="A1:G80"/>
  <sheetViews>
    <sheetView workbookViewId="0">
      <selection activeCell="J6" sqref="J6"/>
    </sheetView>
  </sheetViews>
  <sheetFormatPr defaultRowHeight="15" x14ac:dyDescent="0.25"/>
  <cols>
    <col min="1" max="1" width="9.28515625" bestFit="1" customWidth="1"/>
    <col min="2" max="2" width="88" bestFit="1" customWidth="1"/>
    <col min="6" max="6" width="11.5703125" customWidth="1"/>
    <col min="7" max="7" width="13.7109375" customWidth="1"/>
  </cols>
  <sheetData>
    <row r="1" spans="1:7" ht="60.75" thickBot="1" x14ac:dyDescent="0.3">
      <c r="A1" s="1" t="s">
        <v>0</v>
      </c>
      <c r="B1" s="2" t="s">
        <v>1</v>
      </c>
      <c r="C1" s="2" t="s">
        <v>300</v>
      </c>
      <c r="D1" s="15" t="s">
        <v>301</v>
      </c>
      <c r="E1" s="15" t="s">
        <v>299</v>
      </c>
      <c r="F1" s="15" t="s">
        <v>302</v>
      </c>
      <c r="G1" s="15" t="s">
        <v>782</v>
      </c>
    </row>
    <row r="2" spans="1:7" x14ac:dyDescent="0.25">
      <c r="A2" s="4" t="s">
        <v>189</v>
      </c>
      <c r="B2" s="10" t="s">
        <v>190</v>
      </c>
      <c r="C2">
        <v>0</v>
      </c>
      <c r="D2">
        <v>2430000</v>
      </c>
      <c r="E2">
        <v>2430000</v>
      </c>
      <c r="F2">
        <v>105000</v>
      </c>
      <c r="G2">
        <f>SUM(C2:E2)-F2</f>
        <v>4755000</v>
      </c>
    </row>
    <row r="3" spans="1:7" x14ac:dyDescent="0.25">
      <c r="A3" s="4" t="s">
        <v>161</v>
      </c>
      <c r="B3" s="10" t="s">
        <v>162</v>
      </c>
      <c r="C3">
        <v>2419567</v>
      </c>
      <c r="D3">
        <v>0</v>
      </c>
      <c r="E3">
        <v>2419567</v>
      </c>
      <c r="F3">
        <v>1136759</v>
      </c>
      <c r="G3">
        <f t="shared" ref="G3:G66" si="0">SUM(C3:E3)-F3</f>
        <v>3702375</v>
      </c>
    </row>
    <row r="4" spans="1:7" x14ac:dyDescent="0.25">
      <c r="A4" s="4" t="s">
        <v>113</v>
      </c>
      <c r="B4" s="10" t="s">
        <v>114</v>
      </c>
      <c r="C4">
        <v>2027256.5016759706</v>
      </c>
      <c r="D4">
        <v>0</v>
      </c>
      <c r="E4">
        <v>2027256.5016759706</v>
      </c>
      <c r="F4">
        <v>905634.55398184701</v>
      </c>
      <c r="G4">
        <f t="shared" si="0"/>
        <v>3148878.4493700941</v>
      </c>
    </row>
    <row r="5" spans="1:7" x14ac:dyDescent="0.25">
      <c r="A5" s="4" t="s">
        <v>171</v>
      </c>
      <c r="B5" s="10" t="s">
        <v>172</v>
      </c>
      <c r="C5">
        <v>1542118</v>
      </c>
      <c r="D5">
        <v>0</v>
      </c>
      <c r="E5">
        <v>1542118</v>
      </c>
      <c r="F5">
        <v>2793.6000000000004</v>
      </c>
      <c r="G5">
        <f t="shared" si="0"/>
        <v>3081442.4</v>
      </c>
    </row>
    <row r="6" spans="1:7" x14ac:dyDescent="0.25">
      <c r="A6" s="4" t="s">
        <v>93</v>
      </c>
      <c r="B6" s="10" t="s">
        <v>94</v>
      </c>
      <c r="C6">
        <v>1209000</v>
      </c>
      <c r="D6">
        <v>0</v>
      </c>
      <c r="E6">
        <v>1209000</v>
      </c>
      <c r="F6">
        <v>792044</v>
      </c>
      <c r="G6">
        <f t="shared" si="0"/>
        <v>1625956</v>
      </c>
    </row>
    <row r="7" spans="1:7" x14ac:dyDescent="0.25">
      <c r="A7" s="4" t="s">
        <v>217</v>
      </c>
      <c r="B7" s="10" t="s">
        <v>218</v>
      </c>
      <c r="C7">
        <v>764100</v>
      </c>
      <c r="D7">
        <v>0</v>
      </c>
      <c r="E7">
        <v>764100</v>
      </c>
      <c r="F7">
        <v>336795</v>
      </c>
      <c r="G7">
        <f t="shared" si="0"/>
        <v>1191405</v>
      </c>
    </row>
    <row r="8" spans="1:7" x14ac:dyDescent="0.25">
      <c r="A8" s="4" t="s">
        <v>240</v>
      </c>
      <c r="B8" s="10" t="s">
        <v>241</v>
      </c>
      <c r="C8">
        <v>349000</v>
      </c>
      <c r="D8">
        <v>376000</v>
      </c>
      <c r="E8">
        <v>725000</v>
      </c>
      <c r="F8">
        <v>300000</v>
      </c>
      <c r="G8">
        <f t="shared" si="0"/>
        <v>1150000</v>
      </c>
    </row>
    <row r="9" spans="1:7" x14ac:dyDescent="0.25">
      <c r="A9" s="4" t="s">
        <v>268</v>
      </c>
      <c r="B9" s="10" t="s">
        <v>269</v>
      </c>
      <c r="C9">
        <v>465000</v>
      </c>
      <c r="D9">
        <v>47000</v>
      </c>
      <c r="E9">
        <v>512000</v>
      </c>
      <c r="F9">
        <v>328395</v>
      </c>
      <c r="G9">
        <f t="shared" si="0"/>
        <v>695605</v>
      </c>
    </row>
    <row r="10" spans="1:7" x14ac:dyDescent="0.25">
      <c r="A10" s="4" t="s">
        <v>55</v>
      </c>
      <c r="B10" s="10" t="s">
        <v>56</v>
      </c>
      <c r="C10">
        <v>42182</v>
      </c>
      <c r="D10">
        <v>458400</v>
      </c>
      <c r="E10">
        <v>500582</v>
      </c>
      <c r="F10">
        <v>3151</v>
      </c>
      <c r="G10">
        <f t="shared" si="0"/>
        <v>998013</v>
      </c>
    </row>
    <row r="11" spans="1:7" x14ac:dyDescent="0.25">
      <c r="A11" s="4" t="s">
        <v>107</v>
      </c>
      <c r="B11" s="10" t="s">
        <v>108</v>
      </c>
      <c r="C11">
        <v>452281</v>
      </c>
      <c r="D11">
        <v>0</v>
      </c>
      <c r="E11">
        <v>452281</v>
      </c>
      <c r="F11">
        <v>236655</v>
      </c>
      <c r="G11">
        <f t="shared" si="0"/>
        <v>667907</v>
      </c>
    </row>
    <row r="12" spans="1:7" x14ac:dyDescent="0.25">
      <c r="A12" s="4" t="s">
        <v>154</v>
      </c>
      <c r="B12" s="10" t="s">
        <v>155</v>
      </c>
      <c r="C12">
        <v>443405</v>
      </c>
      <c r="D12">
        <v>0</v>
      </c>
      <c r="E12">
        <v>443405</v>
      </c>
      <c r="F12">
        <v>82725</v>
      </c>
      <c r="G12">
        <f t="shared" si="0"/>
        <v>804085</v>
      </c>
    </row>
    <row r="13" spans="1:7" x14ac:dyDescent="0.25">
      <c r="A13" s="4" t="s">
        <v>223</v>
      </c>
      <c r="B13" s="10" t="s">
        <v>224</v>
      </c>
      <c r="C13">
        <v>238800</v>
      </c>
      <c r="D13">
        <v>173000</v>
      </c>
      <c r="E13">
        <v>411800</v>
      </c>
      <c r="F13">
        <v>668193</v>
      </c>
      <c r="G13">
        <f t="shared" si="0"/>
        <v>155407</v>
      </c>
    </row>
    <row r="14" spans="1:7" x14ac:dyDescent="0.25">
      <c r="A14" s="4" t="s">
        <v>78</v>
      </c>
      <c r="B14" s="10" t="s">
        <v>79</v>
      </c>
      <c r="C14">
        <v>0</v>
      </c>
      <c r="D14">
        <v>390000</v>
      </c>
      <c r="E14">
        <v>390000</v>
      </c>
      <c r="F14">
        <v>169000</v>
      </c>
      <c r="G14">
        <f t="shared" si="0"/>
        <v>611000</v>
      </c>
    </row>
    <row r="15" spans="1:7" x14ac:dyDescent="0.25">
      <c r="A15" s="4" t="s">
        <v>219</v>
      </c>
      <c r="B15" s="10" t="s">
        <v>220</v>
      </c>
      <c r="C15">
        <v>192900</v>
      </c>
      <c r="D15">
        <v>115300</v>
      </c>
      <c r="E15">
        <v>308200</v>
      </c>
      <c r="F15">
        <v>241300</v>
      </c>
      <c r="G15">
        <f t="shared" si="0"/>
        <v>375100</v>
      </c>
    </row>
    <row r="16" spans="1:7" x14ac:dyDescent="0.25">
      <c r="A16" s="4" t="s">
        <v>35</v>
      </c>
      <c r="B16" s="10" t="s">
        <v>36</v>
      </c>
      <c r="C16">
        <v>282001</v>
      </c>
      <c r="D16">
        <v>0</v>
      </c>
      <c r="E16">
        <v>282001</v>
      </c>
      <c r="F16">
        <v>61187</v>
      </c>
      <c r="G16">
        <f t="shared" si="0"/>
        <v>502815</v>
      </c>
    </row>
    <row r="17" spans="1:7" x14ac:dyDescent="0.25">
      <c r="A17" s="4" t="s">
        <v>271</v>
      </c>
      <c r="B17" s="10" t="s">
        <v>272</v>
      </c>
      <c r="C17">
        <v>54200</v>
      </c>
      <c r="D17">
        <v>171800</v>
      </c>
      <c r="E17">
        <v>226000</v>
      </c>
      <c r="F17">
        <v>291530</v>
      </c>
      <c r="G17">
        <f t="shared" si="0"/>
        <v>160470</v>
      </c>
    </row>
    <row r="18" spans="1:7" x14ac:dyDescent="0.25">
      <c r="A18" s="4" t="s">
        <v>134</v>
      </c>
      <c r="B18" s="10" t="s">
        <v>135</v>
      </c>
      <c r="C18">
        <v>0</v>
      </c>
      <c r="D18">
        <v>219607</v>
      </c>
      <c r="E18">
        <v>219607</v>
      </c>
      <c r="F18">
        <v>103490</v>
      </c>
      <c r="G18">
        <f t="shared" si="0"/>
        <v>335724</v>
      </c>
    </row>
    <row r="19" spans="1:7" x14ac:dyDescent="0.25">
      <c r="A19" s="4" t="s">
        <v>23</v>
      </c>
      <c r="B19" s="10" t="s">
        <v>24</v>
      </c>
      <c r="C19">
        <v>40268</v>
      </c>
      <c r="D19">
        <v>162830</v>
      </c>
      <c r="E19">
        <v>203098</v>
      </c>
      <c r="F19">
        <v>215</v>
      </c>
      <c r="G19">
        <f t="shared" si="0"/>
        <v>405981</v>
      </c>
    </row>
    <row r="20" spans="1:7" x14ac:dyDescent="0.25">
      <c r="A20" s="4" t="s">
        <v>266</v>
      </c>
      <c r="B20" s="10" t="s">
        <v>267</v>
      </c>
      <c r="C20">
        <v>163324</v>
      </c>
      <c r="D20">
        <v>0</v>
      </c>
      <c r="E20">
        <v>163324</v>
      </c>
      <c r="F20">
        <v>75179</v>
      </c>
      <c r="G20">
        <f t="shared" si="0"/>
        <v>251469</v>
      </c>
    </row>
    <row r="21" spans="1:7" x14ac:dyDescent="0.25">
      <c r="A21" s="4" t="s">
        <v>140</v>
      </c>
      <c r="B21" s="10" t="s">
        <v>141</v>
      </c>
      <c r="C21">
        <v>162022</v>
      </c>
      <c r="D21">
        <v>0</v>
      </c>
      <c r="E21">
        <v>162022</v>
      </c>
      <c r="F21">
        <v>109622</v>
      </c>
      <c r="G21">
        <f t="shared" si="0"/>
        <v>214422</v>
      </c>
    </row>
    <row r="22" spans="1:7" x14ac:dyDescent="0.25">
      <c r="A22" s="4" t="s">
        <v>258</v>
      </c>
      <c r="B22" s="10" t="s">
        <v>259</v>
      </c>
      <c r="C22">
        <v>142622</v>
      </c>
      <c r="D22">
        <v>0</v>
      </c>
      <c r="E22">
        <v>142622</v>
      </c>
      <c r="F22">
        <v>98336</v>
      </c>
      <c r="G22">
        <f t="shared" si="0"/>
        <v>186908</v>
      </c>
    </row>
    <row r="23" spans="1:7" x14ac:dyDescent="0.25">
      <c r="A23" s="4" t="s">
        <v>127</v>
      </c>
      <c r="B23" s="10" t="s">
        <v>128</v>
      </c>
      <c r="C23">
        <v>0</v>
      </c>
      <c r="D23">
        <v>142560</v>
      </c>
      <c r="E23">
        <v>142560</v>
      </c>
      <c r="F23">
        <v>274</v>
      </c>
      <c r="G23">
        <f t="shared" si="0"/>
        <v>284846</v>
      </c>
    </row>
    <row r="24" spans="1:7" x14ac:dyDescent="0.25">
      <c r="A24" s="4" t="s">
        <v>165</v>
      </c>
      <c r="B24" s="10" t="s">
        <v>166</v>
      </c>
      <c r="C24">
        <v>50000</v>
      </c>
      <c r="D24">
        <v>70000</v>
      </c>
      <c r="E24">
        <v>120000</v>
      </c>
      <c r="F24">
        <v>64243</v>
      </c>
      <c r="G24">
        <f t="shared" si="0"/>
        <v>175757</v>
      </c>
    </row>
    <row r="25" spans="1:7" x14ac:dyDescent="0.25">
      <c r="A25" s="4" t="s">
        <v>119</v>
      </c>
      <c r="B25" s="10" t="s">
        <v>120</v>
      </c>
      <c r="C25">
        <v>117451.30755889358</v>
      </c>
      <c r="D25">
        <v>0</v>
      </c>
      <c r="E25">
        <v>117451.30755889358</v>
      </c>
      <c r="F25">
        <v>47841.599999999999</v>
      </c>
      <c r="G25">
        <f t="shared" si="0"/>
        <v>187061.01511778714</v>
      </c>
    </row>
    <row r="26" spans="1:7" x14ac:dyDescent="0.25">
      <c r="A26" s="4" t="s">
        <v>263</v>
      </c>
      <c r="B26" s="10" t="s">
        <v>264</v>
      </c>
      <c r="C26">
        <v>113100</v>
      </c>
      <c r="D26">
        <v>0</v>
      </c>
      <c r="E26">
        <v>113100</v>
      </c>
      <c r="F26">
        <v>1161.2</v>
      </c>
      <c r="G26">
        <f t="shared" si="0"/>
        <v>225038.8</v>
      </c>
    </row>
    <row r="27" spans="1:7" x14ac:dyDescent="0.25">
      <c r="A27" s="4" t="s">
        <v>233</v>
      </c>
      <c r="B27" s="10" t="s">
        <v>234</v>
      </c>
      <c r="C27">
        <v>91940</v>
      </c>
      <c r="D27">
        <v>0</v>
      </c>
      <c r="E27">
        <v>91940</v>
      </c>
      <c r="F27">
        <v>12282</v>
      </c>
      <c r="G27">
        <f t="shared" si="0"/>
        <v>171598</v>
      </c>
    </row>
    <row r="28" spans="1:7" x14ac:dyDescent="0.25">
      <c r="A28" s="4" t="s">
        <v>202</v>
      </c>
      <c r="B28" s="10" t="s">
        <v>203</v>
      </c>
      <c r="C28">
        <v>54000</v>
      </c>
      <c r="D28">
        <v>23300</v>
      </c>
      <c r="E28">
        <v>77300</v>
      </c>
      <c r="F28">
        <v>176000</v>
      </c>
      <c r="G28">
        <f t="shared" si="0"/>
        <v>-21400</v>
      </c>
    </row>
    <row r="29" spans="1:7" x14ac:dyDescent="0.25">
      <c r="A29" s="4" t="s">
        <v>204</v>
      </c>
      <c r="B29" s="10" t="s">
        <v>205</v>
      </c>
      <c r="C29">
        <v>55400</v>
      </c>
      <c r="D29">
        <v>2100</v>
      </c>
      <c r="E29">
        <v>57500</v>
      </c>
      <c r="F29">
        <v>4830</v>
      </c>
      <c r="G29">
        <f t="shared" si="0"/>
        <v>110170</v>
      </c>
    </row>
    <row r="30" spans="1:7" x14ac:dyDescent="0.25">
      <c r="A30" s="4" t="s">
        <v>37</v>
      </c>
      <c r="B30" s="10" t="s">
        <v>38</v>
      </c>
      <c r="C30">
        <v>13800</v>
      </c>
      <c r="D30">
        <v>32800</v>
      </c>
      <c r="E30">
        <v>46600</v>
      </c>
      <c r="F30">
        <v>67304</v>
      </c>
      <c r="G30">
        <f t="shared" si="0"/>
        <v>25896</v>
      </c>
    </row>
    <row r="31" spans="1:7" x14ac:dyDescent="0.25">
      <c r="A31" s="4" t="s">
        <v>90</v>
      </c>
      <c r="B31" s="10" t="s">
        <v>91</v>
      </c>
      <c r="C31">
        <v>13454.84</v>
      </c>
      <c r="D31">
        <v>31632.320999999993</v>
      </c>
      <c r="E31">
        <v>45087.160999999993</v>
      </c>
      <c r="F31">
        <v>13506.530999999999</v>
      </c>
      <c r="G31">
        <f t="shared" si="0"/>
        <v>76667.790999999983</v>
      </c>
    </row>
    <row r="32" spans="1:7" x14ac:dyDescent="0.25">
      <c r="A32" s="4" t="s">
        <v>226</v>
      </c>
      <c r="B32" s="10" t="s">
        <v>227</v>
      </c>
      <c r="C32">
        <v>0</v>
      </c>
      <c r="D32">
        <v>32109</v>
      </c>
      <c r="E32">
        <v>32109</v>
      </c>
      <c r="F32">
        <v>2733</v>
      </c>
      <c r="G32">
        <f t="shared" si="0"/>
        <v>61485</v>
      </c>
    </row>
    <row r="33" spans="1:7" x14ac:dyDescent="0.25">
      <c r="A33" s="4" t="s">
        <v>281</v>
      </c>
      <c r="B33" s="10" t="s">
        <v>282</v>
      </c>
      <c r="C33">
        <v>1183</v>
      </c>
      <c r="D33">
        <v>30304</v>
      </c>
      <c r="E33">
        <v>31487</v>
      </c>
      <c r="F33">
        <v>20603</v>
      </c>
      <c r="G33">
        <f t="shared" si="0"/>
        <v>42371</v>
      </c>
    </row>
    <row r="34" spans="1:7" x14ac:dyDescent="0.25">
      <c r="A34" s="4" t="s">
        <v>221</v>
      </c>
      <c r="B34" s="10" t="s">
        <v>222</v>
      </c>
      <c r="C34">
        <v>21960</v>
      </c>
      <c r="D34">
        <v>0</v>
      </c>
      <c r="E34">
        <v>21960</v>
      </c>
      <c r="F34">
        <v>1500</v>
      </c>
      <c r="G34">
        <f t="shared" si="0"/>
        <v>42420</v>
      </c>
    </row>
    <row r="35" spans="1:7" x14ac:dyDescent="0.25">
      <c r="A35" s="4" t="s">
        <v>61</v>
      </c>
      <c r="B35" s="10" t="s">
        <v>62</v>
      </c>
      <c r="C35">
        <v>17300</v>
      </c>
      <c r="D35">
        <v>0</v>
      </c>
      <c r="E35">
        <v>17300</v>
      </c>
      <c r="F35">
        <v>2154</v>
      </c>
      <c r="G35">
        <f t="shared" si="0"/>
        <v>32446</v>
      </c>
    </row>
    <row r="36" spans="1:7" x14ac:dyDescent="0.25">
      <c r="A36" s="4" t="s">
        <v>117</v>
      </c>
      <c r="B36" s="10" t="s">
        <v>118</v>
      </c>
      <c r="C36">
        <v>13585</v>
      </c>
      <c r="D36">
        <v>0</v>
      </c>
      <c r="E36">
        <v>13585</v>
      </c>
      <c r="F36">
        <v>80162</v>
      </c>
      <c r="G36">
        <f t="shared" si="0"/>
        <v>-52992</v>
      </c>
    </row>
    <row r="37" spans="1:7" x14ac:dyDescent="0.25">
      <c r="A37" s="4" t="s">
        <v>277</v>
      </c>
      <c r="B37" s="10" t="s">
        <v>278</v>
      </c>
      <c r="C37">
        <v>12300</v>
      </c>
      <c r="D37">
        <v>0</v>
      </c>
      <c r="E37">
        <v>12300</v>
      </c>
      <c r="F37">
        <v>64047.4</v>
      </c>
      <c r="G37">
        <f t="shared" si="0"/>
        <v>-39447.4</v>
      </c>
    </row>
    <row r="38" spans="1:7" x14ac:dyDescent="0.25">
      <c r="A38" s="4" t="s">
        <v>69</v>
      </c>
      <c r="B38" s="10" t="s">
        <v>70</v>
      </c>
      <c r="C38">
        <v>7195</v>
      </c>
      <c r="D38">
        <v>0</v>
      </c>
      <c r="E38">
        <v>7195</v>
      </c>
      <c r="F38">
        <v>5081</v>
      </c>
      <c r="G38">
        <f t="shared" si="0"/>
        <v>9309</v>
      </c>
    </row>
    <row r="39" spans="1:7" x14ac:dyDescent="0.25">
      <c r="A39" s="4" t="s">
        <v>180</v>
      </c>
      <c r="B39" s="10" t="s">
        <v>181</v>
      </c>
      <c r="C39">
        <v>7000</v>
      </c>
      <c r="D39">
        <v>0</v>
      </c>
      <c r="E39">
        <v>7000</v>
      </c>
      <c r="F39">
        <v>1672</v>
      </c>
      <c r="G39">
        <f t="shared" si="0"/>
        <v>12328</v>
      </c>
    </row>
    <row r="40" spans="1:7" x14ac:dyDescent="0.25">
      <c r="A40" s="4" t="s">
        <v>230</v>
      </c>
      <c r="B40" s="10" t="s">
        <v>231</v>
      </c>
      <c r="C40">
        <v>0</v>
      </c>
      <c r="D40">
        <v>6518</v>
      </c>
      <c r="E40">
        <v>6518</v>
      </c>
      <c r="F40">
        <v>963</v>
      </c>
      <c r="G40">
        <f t="shared" si="0"/>
        <v>12073</v>
      </c>
    </row>
    <row r="41" spans="1:7" x14ac:dyDescent="0.25">
      <c r="A41" s="4" t="s">
        <v>75</v>
      </c>
      <c r="B41" s="10" t="s">
        <v>76</v>
      </c>
      <c r="C41">
        <v>6000</v>
      </c>
      <c r="D41">
        <v>0</v>
      </c>
      <c r="E41">
        <v>6000</v>
      </c>
      <c r="F41">
        <v>3143</v>
      </c>
      <c r="G41">
        <f t="shared" si="0"/>
        <v>8857</v>
      </c>
    </row>
    <row r="42" spans="1:7" x14ac:dyDescent="0.25">
      <c r="A42" s="4" t="s">
        <v>71</v>
      </c>
      <c r="B42" s="10" t="s">
        <v>72</v>
      </c>
      <c r="C42">
        <v>1980</v>
      </c>
      <c r="D42">
        <v>2350</v>
      </c>
      <c r="E42">
        <v>4330</v>
      </c>
      <c r="F42">
        <v>751</v>
      </c>
      <c r="G42">
        <f t="shared" si="0"/>
        <v>7909</v>
      </c>
    </row>
    <row r="43" spans="1:7" x14ac:dyDescent="0.25">
      <c r="A43" s="4" t="s">
        <v>7</v>
      </c>
      <c r="B43" s="10" t="s">
        <v>8</v>
      </c>
      <c r="C43">
        <v>3750</v>
      </c>
      <c r="D43">
        <v>0</v>
      </c>
      <c r="E43">
        <v>3750</v>
      </c>
      <c r="F43">
        <v>580</v>
      </c>
      <c r="G43">
        <f t="shared" si="0"/>
        <v>6920</v>
      </c>
    </row>
    <row r="44" spans="1:7" x14ac:dyDescent="0.25">
      <c r="A44" s="4" t="s">
        <v>45</v>
      </c>
      <c r="B44" s="10" t="s">
        <v>46</v>
      </c>
      <c r="C44">
        <v>3101</v>
      </c>
      <c r="D44">
        <v>0</v>
      </c>
      <c r="E44">
        <v>3101</v>
      </c>
      <c r="F44">
        <v>2510</v>
      </c>
      <c r="G44">
        <f t="shared" si="0"/>
        <v>3692</v>
      </c>
    </row>
    <row r="45" spans="1:7" x14ac:dyDescent="0.25">
      <c r="A45" s="4" t="s">
        <v>63</v>
      </c>
      <c r="B45" s="10" t="s">
        <v>64</v>
      </c>
      <c r="C45">
        <v>1177</v>
      </c>
      <c r="D45">
        <v>0</v>
      </c>
      <c r="E45">
        <v>1177</v>
      </c>
      <c r="F45">
        <v>2211</v>
      </c>
      <c r="G45">
        <f t="shared" si="0"/>
        <v>143</v>
      </c>
    </row>
    <row r="46" spans="1:7" x14ac:dyDescent="0.25">
      <c r="A46" s="4" t="s">
        <v>208</v>
      </c>
      <c r="B46" s="10" t="s">
        <v>209</v>
      </c>
      <c r="C46">
        <v>1087</v>
      </c>
      <c r="D46">
        <v>0</v>
      </c>
      <c r="E46">
        <v>1087</v>
      </c>
      <c r="F46">
        <v>984</v>
      </c>
      <c r="G46">
        <f t="shared" si="0"/>
        <v>1190</v>
      </c>
    </row>
    <row r="47" spans="1:7" x14ac:dyDescent="0.25">
      <c r="A47" s="4" t="s">
        <v>43</v>
      </c>
      <c r="B47" s="10" t="s">
        <v>44</v>
      </c>
      <c r="C47">
        <v>0</v>
      </c>
      <c r="D47">
        <v>872</v>
      </c>
      <c r="E47">
        <v>872</v>
      </c>
      <c r="F47">
        <v>710</v>
      </c>
      <c r="G47">
        <f t="shared" si="0"/>
        <v>1034</v>
      </c>
    </row>
    <row r="48" spans="1:7" x14ac:dyDescent="0.25">
      <c r="A48" s="4" t="s">
        <v>80</v>
      </c>
      <c r="B48" s="10" t="s">
        <v>81</v>
      </c>
      <c r="C48">
        <v>360</v>
      </c>
      <c r="D48">
        <v>0</v>
      </c>
      <c r="E48">
        <v>360</v>
      </c>
      <c r="F48">
        <v>12789</v>
      </c>
      <c r="G48">
        <f t="shared" si="0"/>
        <v>-12069</v>
      </c>
    </row>
    <row r="49" spans="1:7" x14ac:dyDescent="0.25">
      <c r="A49" s="4" t="s">
        <v>13</v>
      </c>
      <c r="B49" s="10" t="s">
        <v>14</v>
      </c>
      <c r="C49">
        <v>2000</v>
      </c>
      <c r="D49">
        <v>-1800</v>
      </c>
      <c r="E49">
        <v>200</v>
      </c>
      <c r="F49">
        <v>289</v>
      </c>
      <c r="G49">
        <f t="shared" si="0"/>
        <v>111</v>
      </c>
    </row>
    <row r="50" spans="1:7" x14ac:dyDescent="0.25">
      <c r="A50" s="4" t="s">
        <v>16</v>
      </c>
      <c r="B50" s="10" t="s">
        <v>17</v>
      </c>
      <c r="C50">
        <v>112</v>
      </c>
      <c r="D50">
        <v>0</v>
      </c>
      <c r="E50">
        <v>112</v>
      </c>
      <c r="F50">
        <v>83</v>
      </c>
      <c r="G50">
        <f t="shared" si="0"/>
        <v>141</v>
      </c>
    </row>
    <row r="51" spans="1:7" x14ac:dyDescent="0.25">
      <c r="A51" s="4" t="s">
        <v>101</v>
      </c>
      <c r="B51" s="10" t="s">
        <v>102</v>
      </c>
      <c r="C51">
        <v>0</v>
      </c>
      <c r="D51">
        <v>0</v>
      </c>
      <c r="E51">
        <v>0</v>
      </c>
      <c r="F51">
        <v>2700000</v>
      </c>
      <c r="G51">
        <f t="shared" si="0"/>
        <v>-2700000</v>
      </c>
    </row>
    <row r="52" spans="1:7" x14ac:dyDescent="0.25">
      <c r="A52" s="4" t="s">
        <v>169</v>
      </c>
      <c r="B52" s="10" t="s">
        <v>170</v>
      </c>
      <c r="C52">
        <v>0</v>
      </c>
      <c r="D52">
        <v>0</v>
      </c>
      <c r="E52">
        <v>0</v>
      </c>
      <c r="F52">
        <v>1064772</v>
      </c>
      <c r="G52">
        <f t="shared" si="0"/>
        <v>-1064772</v>
      </c>
    </row>
    <row r="53" spans="1:7" x14ac:dyDescent="0.25">
      <c r="A53" s="4" t="s">
        <v>146</v>
      </c>
      <c r="B53" s="10" t="s">
        <v>147</v>
      </c>
      <c r="C53">
        <v>0</v>
      </c>
      <c r="D53">
        <v>0</v>
      </c>
      <c r="E53">
        <v>0</v>
      </c>
      <c r="F53">
        <v>1126951</v>
      </c>
      <c r="G53">
        <f t="shared" si="0"/>
        <v>-1126951</v>
      </c>
    </row>
    <row r="54" spans="1:7" x14ac:dyDescent="0.25">
      <c r="A54" s="4" t="s">
        <v>144</v>
      </c>
      <c r="B54" s="10" t="s">
        <v>145</v>
      </c>
      <c r="C54">
        <v>0</v>
      </c>
      <c r="D54">
        <v>0</v>
      </c>
      <c r="E54">
        <v>0</v>
      </c>
      <c r="F54">
        <v>588252</v>
      </c>
      <c r="G54">
        <f t="shared" si="0"/>
        <v>-588252</v>
      </c>
    </row>
    <row r="55" spans="1:7" ht="30" x14ac:dyDescent="0.25">
      <c r="A55" s="4" t="s">
        <v>237</v>
      </c>
      <c r="B55" s="10" t="s">
        <v>238</v>
      </c>
      <c r="C55">
        <v>0</v>
      </c>
      <c r="D55">
        <v>0</v>
      </c>
      <c r="E55">
        <v>0</v>
      </c>
      <c r="F55">
        <v>488913</v>
      </c>
      <c r="G55">
        <f t="shared" si="0"/>
        <v>-488913</v>
      </c>
    </row>
    <row r="56" spans="1:7" x14ac:dyDescent="0.25">
      <c r="A56" s="4" t="s">
        <v>173</v>
      </c>
      <c r="B56" s="10" t="s">
        <v>174</v>
      </c>
      <c r="C56">
        <v>0</v>
      </c>
      <c r="D56">
        <v>0</v>
      </c>
      <c r="E56">
        <v>0</v>
      </c>
      <c r="F56">
        <v>357000</v>
      </c>
      <c r="G56">
        <f t="shared" si="0"/>
        <v>-357000</v>
      </c>
    </row>
    <row r="57" spans="1:7" x14ac:dyDescent="0.25">
      <c r="A57" s="4" t="s">
        <v>20</v>
      </c>
      <c r="B57" s="10" t="s">
        <v>21</v>
      </c>
      <c r="C57">
        <v>0</v>
      </c>
      <c r="D57">
        <v>0</v>
      </c>
      <c r="E57">
        <v>0</v>
      </c>
      <c r="F57">
        <v>334365</v>
      </c>
      <c r="G57">
        <f t="shared" si="0"/>
        <v>-334365</v>
      </c>
    </row>
    <row r="58" spans="1:7" x14ac:dyDescent="0.25">
      <c r="A58" s="4" t="s">
        <v>137</v>
      </c>
      <c r="B58" s="10" t="s">
        <v>138</v>
      </c>
      <c r="C58">
        <v>0</v>
      </c>
      <c r="D58">
        <v>0</v>
      </c>
      <c r="E58">
        <v>0</v>
      </c>
      <c r="F58">
        <v>319873</v>
      </c>
      <c r="G58">
        <f t="shared" si="0"/>
        <v>-319873</v>
      </c>
    </row>
    <row r="59" spans="1:7" x14ac:dyDescent="0.25">
      <c r="A59" s="4" t="s">
        <v>115</v>
      </c>
      <c r="B59" s="11" t="s">
        <v>116</v>
      </c>
      <c r="C59">
        <v>0</v>
      </c>
      <c r="D59">
        <v>0</v>
      </c>
      <c r="E59">
        <v>0</v>
      </c>
      <c r="F59">
        <v>95205.1</v>
      </c>
      <c r="G59">
        <f t="shared" si="0"/>
        <v>-95205.1</v>
      </c>
    </row>
    <row r="60" spans="1:7" x14ac:dyDescent="0.25">
      <c r="A60" s="4" t="s">
        <v>104</v>
      </c>
      <c r="B60" s="10" t="s">
        <v>105</v>
      </c>
      <c r="C60">
        <v>0</v>
      </c>
      <c r="D60">
        <v>0</v>
      </c>
      <c r="E60">
        <v>0</v>
      </c>
      <c r="F60">
        <v>24713</v>
      </c>
      <c r="G60">
        <f t="shared" si="0"/>
        <v>-24713</v>
      </c>
    </row>
    <row r="61" spans="1:7" x14ac:dyDescent="0.25">
      <c r="A61" s="4" t="s">
        <v>152</v>
      </c>
      <c r="B61" s="10" t="s">
        <v>153</v>
      </c>
      <c r="C61">
        <v>0</v>
      </c>
      <c r="D61">
        <v>0</v>
      </c>
      <c r="E61">
        <v>0</v>
      </c>
      <c r="F61">
        <v>28213</v>
      </c>
      <c r="G61">
        <f t="shared" si="0"/>
        <v>-28213</v>
      </c>
    </row>
    <row r="62" spans="1:7" x14ac:dyDescent="0.25">
      <c r="A62" s="4" t="s">
        <v>178</v>
      </c>
      <c r="B62" s="10" t="s">
        <v>179</v>
      </c>
      <c r="C62">
        <v>0</v>
      </c>
      <c r="D62">
        <v>0</v>
      </c>
      <c r="E62">
        <v>0</v>
      </c>
      <c r="F62">
        <v>14520</v>
      </c>
      <c r="G62">
        <f t="shared" si="0"/>
        <v>-14520</v>
      </c>
    </row>
    <row r="63" spans="1:7" x14ac:dyDescent="0.25">
      <c r="A63" s="4" t="s">
        <v>97</v>
      </c>
      <c r="B63" s="10" t="s">
        <v>98</v>
      </c>
      <c r="C63">
        <v>0</v>
      </c>
      <c r="D63">
        <v>0</v>
      </c>
      <c r="E63">
        <v>0</v>
      </c>
      <c r="F63">
        <v>13970</v>
      </c>
      <c r="G63">
        <f t="shared" si="0"/>
        <v>-13970</v>
      </c>
    </row>
    <row r="64" spans="1:7" x14ac:dyDescent="0.25">
      <c r="A64" s="4" t="s">
        <v>132</v>
      </c>
      <c r="B64" s="10" t="s">
        <v>133</v>
      </c>
      <c r="C64">
        <v>0</v>
      </c>
      <c r="D64">
        <v>0</v>
      </c>
      <c r="E64">
        <v>0</v>
      </c>
      <c r="F64">
        <v>6780</v>
      </c>
      <c r="G64">
        <f t="shared" si="0"/>
        <v>-6780</v>
      </c>
    </row>
    <row r="65" spans="1:7" x14ac:dyDescent="0.25">
      <c r="A65" s="4" t="s">
        <v>235</v>
      </c>
      <c r="B65" s="10" t="s">
        <v>236</v>
      </c>
      <c r="C65">
        <v>0</v>
      </c>
      <c r="D65">
        <v>0</v>
      </c>
      <c r="E65">
        <v>0</v>
      </c>
      <c r="F65">
        <v>8020.7</v>
      </c>
      <c r="G65">
        <f t="shared" si="0"/>
        <v>-8020.7</v>
      </c>
    </row>
    <row r="66" spans="1:7" x14ac:dyDescent="0.25">
      <c r="A66" s="4" t="s">
        <v>125</v>
      </c>
      <c r="B66" s="10" t="s">
        <v>126</v>
      </c>
      <c r="C66">
        <v>0</v>
      </c>
      <c r="D66">
        <v>0</v>
      </c>
      <c r="E66">
        <v>0</v>
      </c>
      <c r="F66">
        <v>6235</v>
      </c>
      <c r="G66">
        <f t="shared" si="0"/>
        <v>-6235</v>
      </c>
    </row>
    <row r="67" spans="1:7" x14ac:dyDescent="0.25">
      <c r="A67" s="4" t="s">
        <v>158</v>
      </c>
      <c r="B67" s="10" t="s">
        <v>159</v>
      </c>
      <c r="C67">
        <v>0</v>
      </c>
      <c r="D67">
        <v>0</v>
      </c>
      <c r="E67">
        <v>0</v>
      </c>
      <c r="F67">
        <v>1123</v>
      </c>
      <c r="G67">
        <f t="shared" ref="G67:G80" si="1">SUM(C67:E67)-F67</f>
        <v>-1123</v>
      </c>
    </row>
    <row r="68" spans="1:7" x14ac:dyDescent="0.25">
      <c r="A68" s="4" t="s">
        <v>109</v>
      </c>
      <c r="B68" s="10" t="s">
        <v>110</v>
      </c>
      <c r="C68">
        <v>0</v>
      </c>
      <c r="D68">
        <v>0</v>
      </c>
      <c r="E68">
        <v>0</v>
      </c>
      <c r="F68">
        <v>2008</v>
      </c>
      <c r="G68">
        <f t="shared" si="1"/>
        <v>-2008</v>
      </c>
    </row>
    <row r="69" spans="1:7" x14ac:dyDescent="0.25">
      <c r="A69" s="4" t="s">
        <v>142</v>
      </c>
      <c r="B69" s="10" t="s">
        <v>143</v>
      </c>
      <c r="C69">
        <v>0</v>
      </c>
      <c r="D69">
        <v>0</v>
      </c>
      <c r="E69">
        <v>0</v>
      </c>
      <c r="F69">
        <v>3919.1</v>
      </c>
      <c r="G69">
        <f t="shared" si="1"/>
        <v>-3919.1</v>
      </c>
    </row>
    <row r="70" spans="1:7" x14ac:dyDescent="0.25">
      <c r="A70" s="4" t="s">
        <v>193</v>
      </c>
      <c r="B70" s="10" t="s">
        <v>194</v>
      </c>
      <c r="C70">
        <v>0</v>
      </c>
      <c r="D70">
        <v>0</v>
      </c>
      <c r="E70">
        <v>0</v>
      </c>
      <c r="F70">
        <v>1267</v>
      </c>
      <c r="G70">
        <f t="shared" si="1"/>
        <v>-1267</v>
      </c>
    </row>
    <row r="71" spans="1:7" x14ac:dyDescent="0.25">
      <c r="A71" s="4" t="s">
        <v>187</v>
      </c>
      <c r="B71" s="10" t="s">
        <v>188</v>
      </c>
      <c r="C71">
        <v>0</v>
      </c>
      <c r="D71">
        <v>0</v>
      </c>
      <c r="E71">
        <v>0</v>
      </c>
      <c r="F71">
        <v>1256</v>
      </c>
      <c r="G71">
        <f t="shared" si="1"/>
        <v>-1256</v>
      </c>
    </row>
    <row r="72" spans="1:7" x14ac:dyDescent="0.25">
      <c r="A72" s="4" t="s">
        <v>67</v>
      </c>
      <c r="B72" s="10" t="s">
        <v>68</v>
      </c>
      <c r="C72">
        <v>0</v>
      </c>
      <c r="D72">
        <v>0</v>
      </c>
      <c r="E72">
        <v>0</v>
      </c>
      <c r="F72">
        <v>967</v>
      </c>
      <c r="G72">
        <f t="shared" si="1"/>
        <v>-967</v>
      </c>
    </row>
    <row r="73" spans="1:7" x14ac:dyDescent="0.25">
      <c r="A73" s="4" t="s">
        <v>26</v>
      </c>
      <c r="B73" s="10" t="s">
        <v>27</v>
      </c>
      <c r="C73">
        <v>0</v>
      </c>
      <c r="D73">
        <v>0</v>
      </c>
      <c r="E73">
        <v>0</v>
      </c>
      <c r="F73">
        <v>923</v>
      </c>
      <c r="G73">
        <f t="shared" si="1"/>
        <v>-923</v>
      </c>
    </row>
    <row r="74" spans="1:7" x14ac:dyDescent="0.25">
      <c r="A74" s="4" t="s">
        <v>51</v>
      </c>
      <c r="B74" s="10" t="s">
        <v>52</v>
      </c>
      <c r="C74">
        <v>0</v>
      </c>
      <c r="D74">
        <v>0</v>
      </c>
      <c r="E74">
        <v>0</v>
      </c>
      <c r="F74">
        <v>478.3</v>
      </c>
      <c r="G74">
        <f t="shared" si="1"/>
        <v>-478.3</v>
      </c>
    </row>
    <row r="75" spans="1:7" x14ac:dyDescent="0.25">
      <c r="A75" s="4" t="s">
        <v>273</v>
      </c>
      <c r="B75" s="10" t="s">
        <v>274</v>
      </c>
      <c r="C75">
        <v>0</v>
      </c>
      <c r="D75">
        <v>0</v>
      </c>
      <c r="E75">
        <v>0</v>
      </c>
      <c r="F75">
        <v>392</v>
      </c>
      <c r="G75">
        <f t="shared" si="1"/>
        <v>-392</v>
      </c>
    </row>
    <row r="76" spans="1:7" x14ac:dyDescent="0.25">
      <c r="A76" s="4" t="s">
        <v>156</v>
      </c>
      <c r="B76" s="10" t="s">
        <v>157</v>
      </c>
      <c r="C76">
        <v>0</v>
      </c>
      <c r="D76">
        <v>0</v>
      </c>
      <c r="E76">
        <v>0</v>
      </c>
      <c r="F76">
        <v>369</v>
      </c>
      <c r="G76">
        <f t="shared" si="1"/>
        <v>-369</v>
      </c>
    </row>
    <row r="77" spans="1:7" x14ac:dyDescent="0.25">
      <c r="A77" s="4" t="s">
        <v>214</v>
      </c>
      <c r="B77" s="10" t="s">
        <v>215</v>
      </c>
      <c r="C77">
        <v>0</v>
      </c>
      <c r="D77">
        <v>0</v>
      </c>
      <c r="E77">
        <v>0</v>
      </c>
      <c r="F77">
        <v>230</v>
      </c>
      <c r="G77">
        <f t="shared" si="1"/>
        <v>-230</v>
      </c>
    </row>
    <row r="78" spans="1:7" x14ac:dyDescent="0.25">
      <c r="A78" s="4" t="s">
        <v>248</v>
      </c>
      <c r="B78" s="12" t="s">
        <v>249</v>
      </c>
      <c r="C78">
        <v>0</v>
      </c>
      <c r="D78">
        <v>0</v>
      </c>
      <c r="E78">
        <v>0</v>
      </c>
      <c r="F78">
        <v>227</v>
      </c>
      <c r="G78">
        <f t="shared" si="1"/>
        <v>-227</v>
      </c>
    </row>
    <row r="79" spans="1:7" x14ac:dyDescent="0.25">
      <c r="A79" s="4" t="s">
        <v>250</v>
      </c>
      <c r="B79" s="10" t="s">
        <v>251</v>
      </c>
      <c r="C79">
        <v>0</v>
      </c>
      <c r="D79">
        <v>0</v>
      </c>
      <c r="E79">
        <v>0</v>
      </c>
      <c r="F79">
        <v>202</v>
      </c>
      <c r="G79">
        <f t="shared" si="1"/>
        <v>-202</v>
      </c>
    </row>
    <row r="80" spans="1:7" x14ac:dyDescent="0.25">
      <c r="A80" s="4" t="s">
        <v>211</v>
      </c>
      <c r="B80" s="10" t="s">
        <v>212</v>
      </c>
      <c r="C80">
        <v>0</v>
      </c>
      <c r="D80">
        <v>0</v>
      </c>
      <c r="E80">
        <v>0</v>
      </c>
      <c r="F80">
        <v>27</v>
      </c>
      <c r="G80">
        <f t="shared" si="1"/>
        <v>-27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CDEF-BA86-4F93-9BD0-A3A27466FA27}">
  <dimension ref="A1:E63"/>
  <sheetViews>
    <sheetView workbookViewId="0">
      <selection activeCell="C7" sqref="C7"/>
    </sheetView>
  </sheetViews>
  <sheetFormatPr defaultRowHeight="15" x14ac:dyDescent="0.25"/>
  <cols>
    <col min="1" max="1" width="10.42578125" bestFit="1" customWidth="1"/>
    <col min="2" max="2" width="71" style="22" customWidth="1"/>
    <col min="3" max="3" width="74.5703125" bestFit="1" customWidth="1"/>
    <col min="4" max="4" width="10.42578125" bestFit="1" customWidth="1"/>
    <col min="5" max="5" width="10" customWidth="1"/>
  </cols>
  <sheetData>
    <row r="1" spans="1:5" ht="30.75" thickBot="1" x14ac:dyDescent="0.3">
      <c r="A1" s="2" t="s">
        <v>484</v>
      </c>
      <c r="B1" s="2" t="s">
        <v>473</v>
      </c>
      <c r="C1" s="2" t="s">
        <v>474</v>
      </c>
      <c r="D1" s="2" t="s">
        <v>484</v>
      </c>
      <c r="E1" s="2" t="s">
        <v>552</v>
      </c>
    </row>
    <row r="2" spans="1:5" ht="15.75" thickBot="1" x14ac:dyDescent="0.3">
      <c r="A2" t="str">
        <f>D2</f>
        <v>S0001</v>
      </c>
      <c r="B2" s="24" t="s">
        <v>437</v>
      </c>
      <c r="C2" t="s">
        <v>448</v>
      </c>
      <c r="D2" t="s">
        <v>483</v>
      </c>
      <c r="E2" t="s">
        <v>586</v>
      </c>
    </row>
    <row r="3" spans="1:5" ht="15.75" thickBot="1" x14ac:dyDescent="0.3">
      <c r="A3" t="str">
        <f t="shared" ref="A3:A63" si="0">D3</f>
        <v>S0002</v>
      </c>
      <c r="B3" s="24" t="s">
        <v>408</v>
      </c>
      <c r="C3" t="s">
        <v>458</v>
      </c>
      <c r="D3" t="s">
        <v>485</v>
      </c>
      <c r="E3" t="s">
        <v>587</v>
      </c>
    </row>
    <row r="4" spans="1:5" ht="15.75" thickBot="1" x14ac:dyDescent="0.3">
      <c r="A4" t="str">
        <f t="shared" si="0"/>
        <v>S0003</v>
      </c>
      <c r="B4" s="5" t="s">
        <v>415</v>
      </c>
      <c r="C4" t="s">
        <v>459</v>
      </c>
      <c r="D4" t="s">
        <v>486</v>
      </c>
      <c r="E4" t="s">
        <v>588</v>
      </c>
    </row>
    <row r="5" spans="1:5" ht="15.75" thickBot="1" x14ac:dyDescent="0.3">
      <c r="A5" t="str">
        <f t="shared" si="0"/>
        <v>S0004</v>
      </c>
      <c r="B5" s="5" t="s">
        <v>413</v>
      </c>
      <c r="C5" t="s">
        <v>25</v>
      </c>
      <c r="D5" t="s">
        <v>487</v>
      </c>
      <c r="E5" t="s">
        <v>589</v>
      </c>
    </row>
    <row r="6" spans="1:5" ht="15.75" thickBot="1" x14ac:dyDescent="0.3">
      <c r="A6" t="str">
        <f t="shared" si="0"/>
        <v>S0005</v>
      </c>
      <c r="B6" s="24" t="s">
        <v>406</v>
      </c>
      <c r="C6" t="s">
        <v>480</v>
      </c>
      <c r="D6" t="s">
        <v>488</v>
      </c>
      <c r="E6" t="s">
        <v>590</v>
      </c>
    </row>
    <row r="7" spans="1:5" ht="15.75" thickBot="1" x14ac:dyDescent="0.3">
      <c r="A7" t="str">
        <f t="shared" si="0"/>
        <v>S0006</v>
      </c>
      <c r="B7" s="5" t="s">
        <v>4</v>
      </c>
      <c r="C7" t="s">
        <v>448</v>
      </c>
      <c r="D7" t="s">
        <v>489</v>
      </c>
      <c r="E7" t="s">
        <v>591</v>
      </c>
    </row>
    <row r="8" spans="1:5" ht="15.75" thickBot="1" x14ac:dyDescent="0.3">
      <c r="A8" t="str">
        <f t="shared" si="0"/>
        <v>S0007</v>
      </c>
      <c r="B8" s="24" t="s">
        <v>391</v>
      </c>
      <c r="C8" t="s">
        <v>455</v>
      </c>
      <c r="D8" t="s">
        <v>490</v>
      </c>
      <c r="E8" t="s">
        <v>592</v>
      </c>
    </row>
    <row r="9" spans="1:5" ht="15.75" thickBot="1" x14ac:dyDescent="0.3">
      <c r="A9" t="str">
        <f t="shared" si="0"/>
        <v>S0008</v>
      </c>
      <c r="B9" s="24" t="s">
        <v>433</v>
      </c>
      <c r="C9" t="s">
        <v>452</v>
      </c>
      <c r="D9" t="s">
        <v>491</v>
      </c>
      <c r="E9" t="s">
        <v>593</v>
      </c>
    </row>
    <row r="10" spans="1:5" ht="15.75" thickBot="1" x14ac:dyDescent="0.3">
      <c r="A10" t="str">
        <f t="shared" si="0"/>
        <v>S0009</v>
      </c>
      <c r="B10" s="5" t="s">
        <v>400</v>
      </c>
      <c r="C10" t="s">
        <v>455</v>
      </c>
      <c r="D10" t="s">
        <v>492</v>
      </c>
      <c r="E10" t="s">
        <v>594</v>
      </c>
    </row>
    <row r="11" spans="1:5" ht="15.75" thickBot="1" x14ac:dyDescent="0.3">
      <c r="A11" t="str">
        <f t="shared" si="0"/>
        <v>S0010</v>
      </c>
      <c r="B11" s="5" t="s">
        <v>416</v>
      </c>
      <c r="C11" t="s">
        <v>448</v>
      </c>
      <c r="D11" t="s">
        <v>493</v>
      </c>
      <c r="E11" t="s">
        <v>595</v>
      </c>
    </row>
    <row r="12" spans="1:5" ht="15.75" thickBot="1" x14ac:dyDescent="0.3">
      <c r="A12" t="str">
        <f t="shared" si="0"/>
        <v>S0011</v>
      </c>
      <c r="B12" s="5" t="s">
        <v>405</v>
      </c>
      <c r="C12" t="s">
        <v>448</v>
      </c>
      <c r="D12" t="s">
        <v>494</v>
      </c>
      <c r="E12" t="s">
        <v>586</v>
      </c>
    </row>
    <row r="13" spans="1:5" ht="15.75" thickBot="1" x14ac:dyDescent="0.3">
      <c r="A13" t="str">
        <f t="shared" si="0"/>
        <v>S0012</v>
      </c>
      <c r="B13" s="5" t="s">
        <v>401</v>
      </c>
      <c r="C13" t="s">
        <v>448</v>
      </c>
      <c r="D13" t="s">
        <v>495</v>
      </c>
      <c r="E13" t="s">
        <v>587</v>
      </c>
    </row>
    <row r="14" spans="1:5" ht="15.75" thickBot="1" x14ac:dyDescent="0.3">
      <c r="A14" t="str">
        <f t="shared" si="0"/>
        <v>S0013</v>
      </c>
      <c r="B14" s="5" t="s">
        <v>409</v>
      </c>
      <c r="C14" t="s">
        <v>456</v>
      </c>
      <c r="D14" t="s">
        <v>496</v>
      </c>
      <c r="E14" t="s">
        <v>588</v>
      </c>
    </row>
    <row r="15" spans="1:5" ht="15.75" thickBot="1" x14ac:dyDescent="0.3">
      <c r="A15" t="str">
        <f t="shared" si="0"/>
        <v>S0014</v>
      </c>
      <c r="B15" s="5" t="s">
        <v>412</v>
      </c>
      <c r="C15" t="s">
        <v>452</v>
      </c>
      <c r="D15" t="s">
        <v>497</v>
      </c>
      <c r="E15" t="s">
        <v>589</v>
      </c>
    </row>
    <row r="16" spans="1:5" x14ac:dyDescent="0.25">
      <c r="A16" t="str">
        <f t="shared" si="0"/>
        <v>S0015</v>
      </c>
      <c r="B16" s="5" t="s">
        <v>414</v>
      </c>
      <c r="C16" t="s">
        <v>448</v>
      </c>
      <c r="D16" t="s">
        <v>498</v>
      </c>
      <c r="E16" t="s">
        <v>590</v>
      </c>
    </row>
    <row r="17" spans="1:5" x14ac:dyDescent="0.25">
      <c r="A17" t="str">
        <f t="shared" si="0"/>
        <v>S0016</v>
      </c>
      <c r="B17" s="25" t="s">
        <v>393</v>
      </c>
      <c r="C17" t="s">
        <v>452</v>
      </c>
      <c r="D17" t="s">
        <v>499</v>
      </c>
      <c r="E17" t="s">
        <v>591</v>
      </c>
    </row>
    <row r="18" spans="1:5" x14ac:dyDescent="0.25">
      <c r="A18" t="str">
        <f t="shared" si="0"/>
        <v>S0017</v>
      </c>
      <c r="B18" t="s">
        <v>420</v>
      </c>
      <c r="C18" t="s">
        <v>461</v>
      </c>
      <c r="D18" t="s">
        <v>500</v>
      </c>
      <c r="E18" t="s">
        <v>592</v>
      </c>
    </row>
    <row r="19" spans="1:5" x14ac:dyDescent="0.25">
      <c r="A19" t="str">
        <f t="shared" si="0"/>
        <v>S0018</v>
      </c>
      <c r="B19" s="25" t="s">
        <v>395</v>
      </c>
      <c r="C19" t="s">
        <v>25</v>
      </c>
      <c r="D19" t="s">
        <v>501</v>
      </c>
      <c r="E19" t="s">
        <v>593</v>
      </c>
    </row>
    <row r="20" spans="1:5" x14ac:dyDescent="0.25">
      <c r="A20" t="str">
        <f t="shared" si="0"/>
        <v>S0019</v>
      </c>
      <c r="B20" t="s">
        <v>434</v>
      </c>
      <c r="C20" t="s">
        <v>448</v>
      </c>
      <c r="D20" t="s">
        <v>502</v>
      </c>
      <c r="E20" t="s">
        <v>594</v>
      </c>
    </row>
    <row r="21" spans="1:5" x14ac:dyDescent="0.25">
      <c r="A21" t="str">
        <f t="shared" si="0"/>
        <v>S0020</v>
      </c>
      <c r="B21" t="s">
        <v>424</v>
      </c>
      <c r="C21" t="s">
        <v>463</v>
      </c>
      <c r="D21" t="s">
        <v>503</v>
      </c>
      <c r="E21" t="s">
        <v>595</v>
      </c>
    </row>
    <row r="22" spans="1:5" x14ac:dyDescent="0.25">
      <c r="A22" t="str">
        <f t="shared" si="0"/>
        <v>S0021</v>
      </c>
      <c r="B22" s="25" t="s">
        <v>387</v>
      </c>
      <c r="C22" t="s">
        <v>449</v>
      </c>
      <c r="D22" t="s">
        <v>504</v>
      </c>
      <c r="E22" t="s">
        <v>553</v>
      </c>
    </row>
    <row r="23" spans="1:5" x14ac:dyDescent="0.25">
      <c r="A23" t="str">
        <f t="shared" si="0"/>
        <v>S0022</v>
      </c>
      <c r="B23" t="s">
        <v>425</v>
      </c>
      <c r="C23" t="s">
        <v>464</v>
      </c>
      <c r="D23" t="s">
        <v>505</v>
      </c>
      <c r="E23" t="s">
        <v>554</v>
      </c>
    </row>
    <row r="24" spans="1:5" x14ac:dyDescent="0.25">
      <c r="A24" t="str">
        <f t="shared" si="0"/>
        <v>S0023</v>
      </c>
      <c r="B24" s="25" t="s">
        <v>392</v>
      </c>
      <c r="C24" t="s">
        <v>451</v>
      </c>
      <c r="D24" t="s">
        <v>506</v>
      </c>
      <c r="E24" t="s">
        <v>555</v>
      </c>
    </row>
    <row r="25" spans="1:5" x14ac:dyDescent="0.25">
      <c r="A25" t="str">
        <f t="shared" si="0"/>
        <v>S0024</v>
      </c>
      <c r="B25" s="25" t="s">
        <v>398</v>
      </c>
      <c r="C25" t="s">
        <v>449</v>
      </c>
      <c r="D25" t="s">
        <v>507</v>
      </c>
      <c r="E25" t="s">
        <v>556</v>
      </c>
    </row>
    <row r="26" spans="1:5" x14ac:dyDescent="0.25">
      <c r="A26" t="str">
        <f t="shared" si="0"/>
        <v>S0025</v>
      </c>
      <c r="B26" t="s">
        <v>423</v>
      </c>
      <c r="C26" t="s">
        <v>462</v>
      </c>
      <c r="D26" t="s">
        <v>508</v>
      </c>
      <c r="E26" t="s">
        <v>557</v>
      </c>
    </row>
    <row r="27" spans="1:5" x14ac:dyDescent="0.25">
      <c r="A27" t="str">
        <f t="shared" si="0"/>
        <v>S0026</v>
      </c>
      <c r="B27" t="s">
        <v>436</v>
      </c>
      <c r="C27" t="s">
        <v>470</v>
      </c>
      <c r="D27" t="s">
        <v>509</v>
      </c>
      <c r="E27" t="s">
        <v>558</v>
      </c>
    </row>
    <row r="28" spans="1:5" x14ac:dyDescent="0.25">
      <c r="A28" t="str">
        <f t="shared" si="0"/>
        <v>S0027</v>
      </c>
      <c r="B28" s="25" t="s">
        <v>390</v>
      </c>
      <c r="C28" t="s">
        <v>450</v>
      </c>
      <c r="D28" t="s">
        <v>510</v>
      </c>
      <c r="E28" t="s">
        <v>559</v>
      </c>
    </row>
    <row r="29" spans="1:5" x14ac:dyDescent="0.25">
      <c r="A29" t="str">
        <f t="shared" si="0"/>
        <v>S0028</v>
      </c>
      <c r="B29" s="25" t="s">
        <v>388</v>
      </c>
      <c r="C29" t="s">
        <v>25</v>
      </c>
      <c r="D29" t="s">
        <v>511</v>
      </c>
      <c r="E29" t="s">
        <v>560</v>
      </c>
    </row>
    <row r="30" spans="1:5" x14ac:dyDescent="0.25">
      <c r="A30" t="str">
        <f t="shared" si="0"/>
        <v>S0029</v>
      </c>
      <c r="B30" t="s">
        <v>426</v>
      </c>
      <c r="C30" t="s">
        <v>465</v>
      </c>
      <c r="D30" t="s">
        <v>512</v>
      </c>
      <c r="E30" t="s">
        <v>561</v>
      </c>
    </row>
    <row r="31" spans="1:5" x14ac:dyDescent="0.25">
      <c r="A31" t="str">
        <f t="shared" si="0"/>
        <v>S0030</v>
      </c>
      <c r="B31" t="s">
        <v>421</v>
      </c>
      <c r="C31" t="s">
        <v>479</v>
      </c>
      <c r="D31" t="s">
        <v>513</v>
      </c>
      <c r="E31" t="s">
        <v>562</v>
      </c>
    </row>
    <row r="32" spans="1:5" x14ac:dyDescent="0.25">
      <c r="A32" t="str">
        <f t="shared" si="0"/>
        <v>S0031</v>
      </c>
      <c r="B32" t="s">
        <v>402</v>
      </c>
      <c r="C32" t="s">
        <v>450</v>
      </c>
      <c r="D32" t="s">
        <v>514</v>
      </c>
      <c r="E32" t="s">
        <v>563</v>
      </c>
    </row>
    <row r="33" spans="1:5" x14ac:dyDescent="0.25">
      <c r="A33" t="str">
        <f t="shared" si="0"/>
        <v>S0032</v>
      </c>
      <c r="B33" t="s">
        <v>432</v>
      </c>
      <c r="C33" t="s">
        <v>469</v>
      </c>
      <c r="D33" t="s">
        <v>515</v>
      </c>
      <c r="E33" t="s">
        <v>564</v>
      </c>
    </row>
    <row r="34" spans="1:5" x14ac:dyDescent="0.25">
      <c r="A34" t="str">
        <f t="shared" si="0"/>
        <v>S0033</v>
      </c>
      <c r="B34" t="s">
        <v>446</v>
      </c>
      <c r="C34" t="s">
        <v>25</v>
      </c>
      <c r="D34" t="s">
        <v>516</v>
      </c>
      <c r="E34" t="s">
        <v>565</v>
      </c>
    </row>
    <row r="35" spans="1:5" x14ac:dyDescent="0.25">
      <c r="A35" t="str">
        <f t="shared" si="0"/>
        <v>S0034</v>
      </c>
      <c r="B35" s="25" t="s">
        <v>404</v>
      </c>
      <c r="C35" t="s">
        <v>448</v>
      </c>
      <c r="D35" t="s">
        <v>517</v>
      </c>
      <c r="E35" t="s">
        <v>566</v>
      </c>
    </row>
    <row r="36" spans="1:5" x14ac:dyDescent="0.25">
      <c r="A36" t="str">
        <f t="shared" si="0"/>
        <v>S0035</v>
      </c>
      <c r="B36" t="s">
        <v>441</v>
      </c>
      <c r="C36" t="s">
        <v>448</v>
      </c>
      <c r="D36" t="s">
        <v>518</v>
      </c>
      <c r="E36" t="s">
        <v>567</v>
      </c>
    </row>
    <row r="37" spans="1:5" x14ac:dyDescent="0.25">
      <c r="A37" t="str">
        <f t="shared" si="0"/>
        <v>S0036</v>
      </c>
      <c r="B37" s="25" t="s">
        <v>399</v>
      </c>
      <c r="C37" t="s">
        <v>454</v>
      </c>
      <c r="D37" t="s">
        <v>519</v>
      </c>
      <c r="E37" t="s">
        <v>568</v>
      </c>
    </row>
    <row r="38" spans="1:5" x14ac:dyDescent="0.25">
      <c r="A38" t="str">
        <f t="shared" si="0"/>
        <v>S0037</v>
      </c>
      <c r="B38" t="s">
        <v>443</v>
      </c>
      <c r="C38" t="s">
        <v>448</v>
      </c>
      <c r="D38" t="s">
        <v>520</v>
      </c>
      <c r="E38" t="s">
        <v>569</v>
      </c>
    </row>
    <row r="39" spans="1:5" x14ac:dyDescent="0.25">
      <c r="A39" t="str">
        <f t="shared" si="0"/>
        <v>S0038</v>
      </c>
      <c r="B39" t="s">
        <v>431</v>
      </c>
      <c r="C39" t="s">
        <v>468</v>
      </c>
      <c r="D39" t="s">
        <v>521</v>
      </c>
      <c r="E39" t="s">
        <v>570</v>
      </c>
    </row>
    <row r="40" spans="1:5" x14ac:dyDescent="0.25">
      <c r="A40" t="str">
        <f t="shared" si="0"/>
        <v>S0039</v>
      </c>
      <c r="B40" t="s">
        <v>435</v>
      </c>
      <c r="C40" t="s">
        <v>448</v>
      </c>
      <c r="D40" t="s">
        <v>522</v>
      </c>
      <c r="E40" t="s">
        <v>571</v>
      </c>
    </row>
    <row r="41" spans="1:5" x14ac:dyDescent="0.25">
      <c r="A41" t="str">
        <f t="shared" si="0"/>
        <v>S0040</v>
      </c>
      <c r="B41" s="25" t="s">
        <v>417</v>
      </c>
      <c r="C41" t="s">
        <v>448</v>
      </c>
      <c r="D41" t="s">
        <v>523</v>
      </c>
      <c r="E41" t="s">
        <v>572</v>
      </c>
    </row>
    <row r="42" spans="1:5" x14ac:dyDescent="0.25">
      <c r="A42" t="str">
        <f t="shared" si="0"/>
        <v>S0041</v>
      </c>
      <c r="B42" t="s">
        <v>430</v>
      </c>
      <c r="C42" t="s">
        <v>448</v>
      </c>
      <c r="D42" t="s">
        <v>524</v>
      </c>
      <c r="E42" t="s">
        <v>573</v>
      </c>
    </row>
    <row r="43" spans="1:5" x14ac:dyDescent="0.25">
      <c r="A43" t="str">
        <f t="shared" si="0"/>
        <v>S0042</v>
      </c>
      <c r="B43" t="s">
        <v>428</v>
      </c>
      <c r="C43" t="s">
        <v>450</v>
      </c>
      <c r="D43" t="s">
        <v>525</v>
      </c>
      <c r="E43" t="s">
        <v>574</v>
      </c>
    </row>
    <row r="44" spans="1:5" x14ac:dyDescent="0.25">
      <c r="A44" t="str">
        <f>D44</f>
        <v>S0043</v>
      </c>
      <c r="B44" t="s">
        <v>429</v>
      </c>
      <c r="C44" t="s">
        <v>458</v>
      </c>
      <c r="D44" t="s">
        <v>526</v>
      </c>
      <c r="E44" t="s">
        <v>575</v>
      </c>
    </row>
    <row r="45" spans="1:5" x14ac:dyDescent="0.25">
      <c r="A45" t="str">
        <f t="shared" si="0"/>
        <v>S0044</v>
      </c>
      <c r="B45" s="25" t="s">
        <v>397</v>
      </c>
      <c r="C45" t="s">
        <v>453</v>
      </c>
      <c r="D45" t="s">
        <v>527</v>
      </c>
      <c r="E45" t="s">
        <v>576</v>
      </c>
    </row>
    <row r="46" spans="1:5" x14ac:dyDescent="0.25">
      <c r="A46" t="str">
        <f t="shared" si="0"/>
        <v>S0045</v>
      </c>
      <c r="B46" t="s">
        <v>422</v>
      </c>
      <c r="C46" t="s">
        <v>448</v>
      </c>
      <c r="D46" t="s">
        <v>528</v>
      </c>
      <c r="E46" t="s">
        <v>577</v>
      </c>
    </row>
    <row r="47" spans="1:5" x14ac:dyDescent="0.25">
      <c r="A47" t="str">
        <f t="shared" si="0"/>
        <v>S0046</v>
      </c>
      <c r="B47" t="s">
        <v>444</v>
      </c>
      <c r="C47" t="s">
        <v>448</v>
      </c>
      <c r="D47" t="s">
        <v>529</v>
      </c>
      <c r="E47" t="s">
        <v>578</v>
      </c>
    </row>
    <row r="48" spans="1:5" x14ac:dyDescent="0.25">
      <c r="A48" t="str">
        <f t="shared" si="0"/>
        <v>S0047</v>
      </c>
      <c r="B48" t="s">
        <v>447</v>
      </c>
      <c r="C48" t="s">
        <v>25</v>
      </c>
      <c r="D48" t="s">
        <v>530</v>
      </c>
      <c r="E48" t="s">
        <v>579</v>
      </c>
    </row>
    <row r="49" spans="1:5" x14ac:dyDescent="0.25">
      <c r="A49" t="str">
        <f t="shared" si="0"/>
        <v>S0048</v>
      </c>
      <c r="B49" s="25" t="s">
        <v>407</v>
      </c>
      <c r="C49" t="s">
        <v>448</v>
      </c>
      <c r="D49" t="s">
        <v>531</v>
      </c>
      <c r="E49" t="s">
        <v>596</v>
      </c>
    </row>
    <row r="50" spans="1:5" x14ac:dyDescent="0.25">
      <c r="A50" t="str">
        <f t="shared" si="0"/>
        <v>S0049</v>
      </c>
      <c r="B50" t="s">
        <v>419</v>
      </c>
      <c r="C50" t="s">
        <v>460</v>
      </c>
      <c r="D50" t="s">
        <v>532</v>
      </c>
      <c r="E50" t="s">
        <v>597</v>
      </c>
    </row>
    <row r="51" spans="1:5" x14ac:dyDescent="0.25">
      <c r="A51" t="str">
        <f t="shared" si="0"/>
        <v>S0050</v>
      </c>
      <c r="B51" s="25" t="s">
        <v>403</v>
      </c>
      <c r="C51" t="s">
        <v>448</v>
      </c>
      <c r="D51" t="s">
        <v>533</v>
      </c>
      <c r="E51" t="s">
        <v>598</v>
      </c>
    </row>
    <row r="52" spans="1:5" x14ac:dyDescent="0.25">
      <c r="A52" t="str">
        <f t="shared" si="0"/>
        <v>S0051</v>
      </c>
      <c r="B52" t="s">
        <v>439</v>
      </c>
      <c r="C52" t="s">
        <v>482</v>
      </c>
      <c r="D52" t="s">
        <v>534</v>
      </c>
      <c r="E52" t="s">
        <v>599</v>
      </c>
    </row>
    <row r="53" spans="1:5" x14ac:dyDescent="0.25">
      <c r="A53" t="str">
        <f t="shared" si="0"/>
        <v>S0052</v>
      </c>
      <c r="B53" t="s">
        <v>442</v>
      </c>
      <c r="C53" t="s">
        <v>472</v>
      </c>
      <c r="D53" t="s">
        <v>535</v>
      </c>
      <c r="E53" t="s">
        <v>600</v>
      </c>
    </row>
    <row r="54" spans="1:5" x14ac:dyDescent="0.25">
      <c r="A54" t="str">
        <f t="shared" si="0"/>
        <v>S0053</v>
      </c>
      <c r="B54" s="25" t="s">
        <v>389</v>
      </c>
      <c r="C54" t="s">
        <v>25</v>
      </c>
      <c r="D54" t="s">
        <v>536</v>
      </c>
      <c r="E54" t="s">
        <v>601</v>
      </c>
    </row>
    <row r="55" spans="1:5" x14ac:dyDescent="0.25">
      <c r="A55" t="str">
        <f t="shared" si="0"/>
        <v>S0054</v>
      </c>
      <c r="B55" s="25" t="s">
        <v>410</v>
      </c>
      <c r="C55" t="s">
        <v>457</v>
      </c>
      <c r="D55" t="s">
        <v>537</v>
      </c>
      <c r="E55" t="s">
        <v>602</v>
      </c>
    </row>
    <row r="56" spans="1:5" x14ac:dyDescent="0.25">
      <c r="A56" t="str">
        <f t="shared" si="0"/>
        <v>S0055</v>
      </c>
      <c r="B56" s="25" t="s">
        <v>394</v>
      </c>
      <c r="C56" t="s">
        <v>448</v>
      </c>
      <c r="D56" t="s">
        <v>538</v>
      </c>
      <c r="E56" t="s">
        <v>603</v>
      </c>
    </row>
    <row r="57" spans="1:5" x14ac:dyDescent="0.25">
      <c r="A57" t="str">
        <f t="shared" si="0"/>
        <v>S0056</v>
      </c>
      <c r="B57" t="s">
        <v>438</v>
      </c>
      <c r="C57" t="s">
        <v>471</v>
      </c>
      <c r="D57" t="s">
        <v>539</v>
      </c>
      <c r="E57" t="s">
        <v>604</v>
      </c>
    </row>
    <row r="58" spans="1:5" x14ac:dyDescent="0.25">
      <c r="A58" t="str">
        <f t="shared" si="0"/>
        <v>S0058</v>
      </c>
      <c r="B58" s="25" t="s">
        <v>396</v>
      </c>
      <c r="C58" t="s">
        <v>448</v>
      </c>
      <c r="D58" t="s">
        <v>540</v>
      </c>
      <c r="E58" t="s">
        <v>580</v>
      </c>
    </row>
    <row r="59" spans="1:5" x14ac:dyDescent="0.25">
      <c r="A59" t="str">
        <f t="shared" si="0"/>
        <v>S0059</v>
      </c>
      <c r="B59" t="s">
        <v>427</v>
      </c>
      <c r="C59" t="s">
        <v>466</v>
      </c>
      <c r="D59" t="s">
        <v>541</v>
      </c>
      <c r="E59" t="s">
        <v>581</v>
      </c>
    </row>
    <row r="60" spans="1:5" x14ac:dyDescent="0.25">
      <c r="A60" t="str">
        <f t="shared" si="0"/>
        <v>S0060</v>
      </c>
      <c r="B60" s="25" t="s">
        <v>411</v>
      </c>
      <c r="C60" t="s">
        <v>458</v>
      </c>
      <c r="D60" t="s">
        <v>542</v>
      </c>
      <c r="E60" t="s">
        <v>582</v>
      </c>
    </row>
    <row r="61" spans="1:5" x14ac:dyDescent="0.25">
      <c r="A61" t="str">
        <f t="shared" si="0"/>
        <v>S0061</v>
      </c>
      <c r="B61" t="s">
        <v>445</v>
      </c>
      <c r="C61" t="s">
        <v>448</v>
      </c>
      <c r="D61" t="s">
        <v>543</v>
      </c>
      <c r="E61" t="s">
        <v>583</v>
      </c>
    </row>
    <row r="62" spans="1:5" x14ac:dyDescent="0.25">
      <c r="A62" t="str">
        <f t="shared" si="0"/>
        <v>S0062</v>
      </c>
      <c r="B62" t="s">
        <v>440</v>
      </c>
      <c r="C62" t="s">
        <v>449</v>
      </c>
      <c r="D62" t="s">
        <v>544</v>
      </c>
      <c r="E62" t="s">
        <v>584</v>
      </c>
    </row>
    <row r="63" spans="1:5" x14ac:dyDescent="0.25">
      <c r="A63" t="str">
        <f t="shared" si="0"/>
        <v>S0063</v>
      </c>
      <c r="B63" t="s">
        <v>418</v>
      </c>
      <c r="C63" t="s">
        <v>455</v>
      </c>
      <c r="D63" t="s">
        <v>545</v>
      </c>
      <c r="E63" t="s">
        <v>585</v>
      </c>
    </row>
  </sheetData>
  <autoFilter ref="B1:C63" xr:uid="{ABC1CDEF-BA86-4F93-9BD0-A3A27466FA27}">
    <sortState xmlns:xlrd2="http://schemas.microsoft.com/office/spreadsheetml/2017/richdata2" ref="B2:C63">
      <sortCondition ref="B1:B63"/>
    </sortState>
  </autoFilter>
  <phoneticPr fontId="4" type="noConversion"/>
  <conditionalFormatting sqref="A1">
    <cfRule type="duplicateValues" dxfId="5" priority="5"/>
  </conditionalFormatting>
  <conditionalFormatting sqref="A1:A1048576">
    <cfRule type="duplicateValues" dxfId="4" priority="2"/>
    <cfRule type="duplicateValues" dxfId="3" priority="3"/>
  </conditionalFormatting>
  <conditionalFormatting sqref="B1:B1048576">
    <cfRule type="duplicateValues" dxfId="2" priority="13"/>
  </conditionalFormatting>
  <conditionalFormatting sqref="D1:D1048576">
    <cfRule type="duplicateValues" dxfId="1" priority="1"/>
  </conditionalFormatting>
  <conditionalFormatting sqref="D1:E1">
    <cfRule type="duplicateValues" dxfId="0" priority="4"/>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9E1B-B85F-47EB-8D97-4A8E83B1C479}">
  <dimension ref="A1:K21"/>
  <sheetViews>
    <sheetView workbookViewId="0">
      <selection activeCell="F26" sqref="F26"/>
    </sheetView>
  </sheetViews>
  <sheetFormatPr defaultRowHeight="15" x14ac:dyDescent="0.25"/>
  <cols>
    <col min="1" max="1" width="9.28515625" bestFit="1" customWidth="1"/>
    <col min="2" max="2" width="9.28515625" customWidth="1"/>
    <col min="3" max="3" width="131" bestFit="1" customWidth="1"/>
    <col min="4" max="4" width="27.85546875" bestFit="1" customWidth="1"/>
    <col min="5" max="5" width="21.5703125" bestFit="1" customWidth="1"/>
    <col min="6" max="6" width="41.7109375" bestFit="1" customWidth="1"/>
    <col min="7" max="7" width="37.7109375" bestFit="1" customWidth="1"/>
    <col min="8" max="8" width="255.7109375" bestFit="1" customWidth="1"/>
    <col min="9" max="9" width="176.7109375" bestFit="1" customWidth="1"/>
    <col min="10" max="10" width="97.7109375" bestFit="1" customWidth="1"/>
    <col min="11" max="11" width="8.28515625" bestFit="1" customWidth="1"/>
  </cols>
  <sheetData>
    <row r="1" spans="1:11" x14ac:dyDescent="0.25">
      <c r="A1" t="s">
        <v>0</v>
      </c>
      <c r="B1" t="s">
        <v>774</v>
      </c>
      <c r="C1" t="s">
        <v>773</v>
      </c>
      <c r="D1" t="s">
        <v>654</v>
      </c>
      <c r="E1" t="s">
        <v>655</v>
      </c>
      <c r="F1" t="s">
        <v>656</v>
      </c>
      <c r="G1" t="s">
        <v>657</v>
      </c>
      <c r="H1" t="s">
        <v>658</v>
      </c>
      <c r="I1" t="s">
        <v>781</v>
      </c>
      <c r="J1" t="s">
        <v>659</v>
      </c>
      <c r="K1" t="s">
        <v>660</v>
      </c>
    </row>
    <row r="2" spans="1:11" x14ac:dyDescent="0.25">
      <c r="A2" t="s">
        <v>137</v>
      </c>
      <c r="B2" t="s">
        <v>775</v>
      </c>
      <c r="C2" t="s">
        <v>661</v>
      </c>
      <c r="D2" t="s">
        <v>662</v>
      </c>
      <c r="E2" t="s">
        <v>663</v>
      </c>
      <c r="F2" t="s">
        <v>663</v>
      </c>
      <c r="G2" t="s">
        <v>664</v>
      </c>
      <c r="H2" t="s">
        <v>665</v>
      </c>
      <c r="I2" t="s">
        <v>666</v>
      </c>
      <c r="J2" t="s">
        <v>667</v>
      </c>
      <c r="K2" t="s">
        <v>668</v>
      </c>
    </row>
    <row r="3" spans="1:11" x14ac:dyDescent="0.25">
      <c r="A3" t="s">
        <v>140</v>
      </c>
      <c r="B3" t="s">
        <v>775</v>
      </c>
      <c r="C3" t="s">
        <v>669</v>
      </c>
      <c r="D3" t="s">
        <v>670</v>
      </c>
      <c r="E3" t="s">
        <v>663</v>
      </c>
      <c r="F3" t="s">
        <v>663</v>
      </c>
      <c r="G3" t="s">
        <v>664</v>
      </c>
      <c r="H3" t="s">
        <v>671</v>
      </c>
      <c r="I3" t="s">
        <v>672</v>
      </c>
      <c r="J3" t="s">
        <v>673</v>
      </c>
      <c r="K3" t="s">
        <v>674</v>
      </c>
    </row>
    <row r="4" spans="1:11" x14ac:dyDescent="0.25">
      <c r="A4" t="s">
        <v>169</v>
      </c>
      <c r="B4" t="s">
        <v>776</v>
      </c>
      <c r="C4" t="s">
        <v>675</v>
      </c>
      <c r="D4" t="s">
        <v>662</v>
      </c>
      <c r="E4" t="s">
        <v>663</v>
      </c>
      <c r="F4" t="s">
        <v>663</v>
      </c>
      <c r="G4" t="s">
        <v>609</v>
      </c>
      <c r="H4" t="s">
        <v>676</v>
      </c>
      <c r="I4" t="s">
        <v>677</v>
      </c>
      <c r="J4" t="s">
        <v>678</v>
      </c>
      <c r="K4" t="s">
        <v>674</v>
      </c>
    </row>
    <row r="5" spans="1:11" x14ac:dyDescent="0.25">
      <c r="A5" t="s">
        <v>144</v>
      </c>
      <c r="B5" t="s">
        <v>776</v>
      </c>
      <c r="C5" t="s">
        <v>780</v>
      </c>
      <c r="D5" t="s">
        <v>662</v>
      </c>
      <c r="E5" t="s">
        <v>663</v>
      </c>
      <c r="F5" t="s">
        <v>663</v>
      </c>
      <c r="G5" t="s">
        <v>609</v>
      </c>
      <c r="H5" t="s">
        <v>777</v>
      </c>
      <c r="I5" t="s">
        <v>679</v>
      </c>
      <c r="J5" t="s">
        <v>680</v>
      </c>
      <c r="K5" t="s">
        <v>674</v>
      </c>
    </row>
    <row r="6" spans="1:11" x14ac:dyDescent="0.25">
      <c r="A6" t="s">
        <v>165</v>
      </c>
      <c r="B6" t="s">
        <v>775</v>
      </c>
      <c r="C6" t="s">
        <v>681</v>
      </c>
      <c r="D6" t="s">
        <v>662</v>
      </c>
      <c r="E6" t="s">
        <v>663</v>
      </c>
      <c r="F6" t="s">
        <v>663</v>
      </c>
      <c r="G6" t="s">
        <v>609</v>
      </c>
      <c r="H6" t="s">
        <v>682</v>
      </c>
      <c r="I6" t="s">
        <v>683</v>
      </c>
      <c r="J6" t="s">
        <v>684</v>
      </c>
      <c r="K6" t="s">
        <v>668</v>
      </c>
    </row>
    <row r="7" spans="1:11" x14ac:dyDescent="0.25">
      <c r="A7" t="s">
        <v>161</v>
      </c>
      <c r="B7" t="s">
        <v>775</v>
      </c>
      <c r="C7" t="s">
        <v>685</v>
      </c>
      <c r="D7" t="s">
        <v>670</v>
      </c>
      <c r="E7" t="s">
        <v>663</v>
      </c>
      <c r="F7" t="s">
        <v>663</v>
      </c>
      <c r="G7" t="s">
        <v>664</v>
      </c>
      <c r="H7" t="s">
        <v>686</v>
      </c>
      <c r="I7" t="s">
        <v>687</v>
      </c>
      <c r="J7" t="s">
        <v>688</v>
      </c>
      <c r="K7" t="s">
        <v>674</v>
      </c>
    </row>
    <row r="8" spans="1:11" x14ac:dyDescent="0.25">
      <c r="A8" t="s">
        <v>152</v>
      </c>
      <c r="B8" t="s">
        <v>775</v>
      </c>
      <c r="C8" t="s">
        <v>689</v>
      </c>
      <c r="D8" t="s">
        <v>662</v>
      </c>
      <c r="E8" t="s">
        <v>663</v>
      </c>
      <c r="F8" t="s">
        <v>663</v>
      </c>
      <c r="G8" t="s">
        <v>609</v>
      </c>
      <c r="H8" t="s">
        <v>690</v>
      </c>
      <c r="I8" t="s">
        <v>691</v>
      </c>
      <c r="J8" t="s">
        <v>692</v>
      </c>
      <c r="K8" t="s">
        <v>674</v>
      </c>
    </row>
    <row r="9" spans="1:11" x14ac:dyDescent="0.25">
      <c r="A9" t="s">
        <v>158</v>
      </c>
      <c r="B9" t="s">
        <v>775</v>
      </c>
      <c r="C9" t="s">
        <v>693</v>
      </c>
      <c r="D9" t="s">
        <v>663</v>
      </c>
      <c r="E9" t="s">
        <v>663</v>
      </c>
      <c r="F9" t="s">
        <v>663</v>
      </c>
      <c r="G9" t="s">
        <v>609</v>
      </c>
      <c r="H9" t="s">
        <v>694</v>
      </c>
      <c r="I9" t="s">
        <v>695</v>
      </c>
      <c r="J9" t="s">
        <v>696</v>
      </c>
      <c r="K9" t="s">
        <v>674</v>
      </c>
    </row>
    <row r="10" spans="1:11" x14ac:dyDescent="0.25">
      <c r="A10" t="s">
        <v>144</v>
      </c>
      <c r="B10" t="s">
        <v>775</v>
      </c>
      <c r="C10" t="s">
        <v>779</v>
      </c>
      <c r="D10" t="s">
        <v>670</v>
      </c>
      <c r="E10" t="s">
        <v>663</v>
      </c>
      <c r="F10" t="s">
        <v>663</v>
      </c>
      <c r="G10" t="s">
        <v>609</v>
      </c>
      <c r="H10" t="s">
        <v>697</v>
      </c>
      <c r="I10" t="s">
        <v>698</v>
      </c>
      <c r="J10" t="s">
        <v>699</v>
      </c>
      <c r="K10" t="s">
        <v>674</v>
      </c>
    </row>
    <row r="11" spans="1:11" x14ac:dyDescent="0.25">
      <c r="A11" t="s">
        <v>165</v>
      </c>
      <c r="B11" t="s">
        <v>775</v>
      </c>
      <c r="C11" t="s">
        <v>700</v>
      </c>
      <c r="D11" t="s">
        <v>670</v>
      </c>
      <c r="E11" t="s">
        <v>663</v>
      </c>
      <c r="F11" t="s">
        <v>663</v>
      </c>
      <c r="G11" t="s">
        <v>609</v>
      </c>
      <c r="H11" t="s">
        <v>701</v>
      </c>
      <c r="I11" t="s">
        <v>702</v>
      </c>
      <c r="J11" t="s">
        <v>703</v>
      </c>
      <c r="K11" t="s">
        <v>668</v>
      </c>
    </row>
    <row r="12" spans="1:11" x14ac:dyDescent="0.25">
      <c r="A12" t="s">
        <v>161</v>
      </c>
      <c r="B12" t="s">
        <v>775</v>
      </c>
      <c r="C12" t="s">
        <v>704</v>
      </c>
      <c r="D12" t="s">
        <v>670</v>
      </c>
      <c r="E12" t="s">
        <v>663</v>
      </c>
      <c r="F12" t="s">
        <v>663</v>
      </c>
      <c r="G12" t="s">
        <v>609</v>
      </c>
      <c r="H12" t="s">
        <v>705</v>
      </c>
      <c r="I12" t="s">
        <v>706</v>
      </c>
      <c r="J12" t="s">
        <v>707</v>
      </c>
      <c r="K12" t="s">
        <v>674</v>
      </c>
    </row>
    <row r="13" spans="1:11" x14ac:dyDescent="0.25">
      <c r="A13" t="s">
        <v>152</v>
      </c>
      <c r="B13" t="s">
        <v>775</v>
      </c>
      <c r="C13" t="s">
        <v>708</v>
      </c>
      <c r="D13" t="s">
        <v>670</v>
      </c>
      <c r="E13" t="s">
        <v>662</v>
      </c>
      <c r="F13" t="s">
        <v>662</v>
      </c>
      <c r="G13" t="s">
        <v>609</v>
      </c>
      <c r="H13" t="s">
        <v>709</v>
      </c>
      <c r="I13" t="s">
        <v>710</v>
      </c>
      <c r="J13" t="s">
        <v>711</v>
      </c>
      <c r="K13" t="s">
        <v>668</v>
      </c>
    </row>
    <row r="14" spans="1:11" x14ac:dyDescent="0.25">
      <c r="A14" t="s">
        <v>158</v>
      </c>
      <c r="B14" t="s">
        <v>775</v>
      </c>
      <c r="C14" t="s">
        <v>712</v>
      </c>
      <c r="D14" t="s">
        <v>662</v>
      </c>
      <c r="E14" t="s">
        <v>662</v>
      </c>
      <c r="F14" t="s">
        <v>662</v>
      </c>
      <c r="G14" t="s">
        <v>609</v>
      </c>
      <c r="H14" t="s">
        <v>713</v>
      </c>
      <c r="I14" t="s">
        <v>714</v>
      </c>
      <c r="J14" t="s">
        <v>715</v>
      </c>
      <c r="K14" t="s">
        <v>668</v>
      </c>
    </row>
    <row r="15" spans="1:11" x14ac:dyDescent="0.25">
      <c r="A15" t="s">
        <v>140</v>
      </c>
      <c r="B15" t="s">
        <v>775</v>
      </c>
      <c r="C15" t="s">
        <v>716</v>
      </c>
      <c r="D15" t="s">
        <v>670</v>
      </c>
      <c r="E15" t="s">
        <v>663</v>
      </c>
      <c r="F15" t="s">
        <v>662</v>
      </c>
      <c r="G15" t="s">
        <v>717</v>
      </c>
      <c r="H15" t="s">
        <v>718</v>
      </c>
      <c r="I15" t="s">
        <v>719</v>
      </c>
      <c r="J15" t="s">
        <v>720</v>
      </c>
      <c r="K15" t="s">
        <v>674</v>
      </c>
    </row>
    <row r="16" spans="1:11" x14ac:dyDescent="0.25">
      <c r="A16" t="s">
        <v>169</v>
      </c>
      <c r="B16" t="s">
        <v>775</v>
      </c>
      <c r="C16" t="s">
        <v>721</v>
      </c>
      <c r="D16" t="s">
        <v>662</v>
      </c>
      <c r="E16" t="s">
        <v>662</v>
      </c>
      <c r="F16" t="s">
        <v>662</v>
      </c>
      <c r="G16" t="s">
        <v>609</v>
      </c>
      <c r="H16" t="s">
        <v>722</v>
      </c>
      <c r="I16" t="s">
        <v>723</v>
      </c>
      <c r="J16" t="s">
        <v>724</v>
      </c>
      <c r="K16" t="s">
        <v>674</v>
      </c>
    </row>
    <row r="17" spans="1:11" x14ac:dyDescent="0.25">
      <c r="A17" t="s">
        <v>154</v>
      </c>
      <c r="B17" t="s">
        <v>775</v>
      </c>
      <c r="C17" t="s">
        <v>725</v>
      </c>
      <c r="D17" t="s">
        <v>670</v>
      </c>
      <c r="E17" t="s">
        <v>663</v>
      </c>
      <c r="F17" t="s">
        <v>662</v>
      </c>
      <c r="G17" t="s">
        <v>609</v>
      </c>
      <c r="H17" t="s">
        <v>726</v>
      </c>
      <c r="I17" t="s">
        <v>727</v>
      </c>
      <c r="J17" t="s">
        <v>692</v>
      </c>
      <c r="K17" t="s">
        <v>674</v>
      </c>
    </row>
    <row r="18" spans="1:11" x14ac:dyDescent="0.25">
      <c r="A18" t="s">
        <v>127</v>
      </c>
      <c r="B18" t="s">
        <v>775</v>
      </c>
      <c r="C18" t="s">
        <v>728</v>
      </c>
      <c r="D18" t="s">
        <v>670</v>
      </c>
      <c r="E18" t="s">
        <v>662</v>
      </c>
      <c r="F18" t="s">
        <v>662</v>
      </c>
      <c r="G18" t="s">
        <v>609</v>
      </c>
      <c r="H18" t="s">
        <v>729</v>
      </c>
      <c r="I18" t="s">
        <v>730</v>
      </c>
      <c r="J18" t="s">
        <v>731</v>
      </c>
      <c r="K18" t="s">
        <v>674</v>
      </c>
    </row>
    <row r="19" spans="1:11" x14ac:dyDescent="0.25">
      <c r="A19" t="s">
        <v>171</v>
      </c>
      <c r="B19" t="s">
        <v>776</v>
      </c>
      <c r="C19" t="s">
        <v>778</v>
      </c>
      <c r="D19" t="s">
        <v>670</v>
      </c>
      <c r="E19" t="s">
        <v>662</v>
      </c>
      <c r="F19" t="s">
        <v>662</v>
      </c>
      <c r="G19" t="s">
        <v>664</v>
      </c>
      <c r="H19" t="s">
        <v>732</v>
      </c>
      <c r="I19" t="s">
        <v>733</v>
      </c>
      <c r="J19" t="s">
        <v>734</v>
      </c>
      <c r="K19" t="s">
        <v>668</v>
      </c>
    </row>
    <row r="20" spans="1:11" x14ac:dyDescent="0.25">
      <c r="A20" t="s">
        <v>156</v>
      </c>
      <c r="B20" t="s">
        <v>775</v>
      </c>
      <c r="C20" t="s">
        <v>735</v>
      </c>
      <c r="D20" t="s">
        <v>670</v>
      </c>
      <c r="E20" t="s">
        <v>662</v>
      </c>
      <c r="F20" t="s">
        <v>662</v>
      </c>
      <c r="G20" t="s">
        <v>736</v>
      </c>
      <c r="H20" t="s">
        <v>737</v>
      </c>
      <c r="I20" t="s">
        <v>738</v>
      </c>
      <c r="J20" t="s">
        <v>739</v>
      </c>
      <c r="K20" t="s">
        <v>674</v>
      </c>
    </row>
    <row r="21" spans="1:11" x14ac:dyDescent="0.25">
      <c r="A21" t="s">
        <v>132</v>
      </c>
      <c r="B21" t="s">
        <v>775</v>
      </c>
      <c r="C21" t="s">
        <v>740</v>
      </c>
      <c r="D21" t="s">
        <v>662</v>
      </c>
      <c r="E21" t="s">
        <v>662</v>
      </c>
      <c r="F21" t="s">
        <v>662</v>
      </c>
      <c r="G21" t="s">
        <v>609</v>
      </c>
      <c r="H21" t="s">
        <v>741</v>
      </c>
      <c r="I21" t="s">
        <v>742</v>
      </c>
      <c r="J21" t="s">
        <v>743</v>
      </c>
      <c r="K21" t="s">
        <v>674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0D18-E203-49BC-9DF6-E67F92786CAD}">
  <dimension ref="A1"/>
  <sheetViews>
    <sheetView workbookViewId="0">
      <selection activeCell="M35" sqref="M35"/>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448EB-D26A-4130-948C-B1AD6DBCE4AD}">
  <dimension ref="A2:J15"/>
  <sheetViews>
    <sheetView tabSelected="1" workbookViewId="0">
      <selection activeCell="H18" sqref="H18"/>
    </sheetView>
  </sheetViews>
  <sheetFormatPr defaultRowHeight="15" x14ac:dyDescent="0.25"/>
  <cols>
    <col min="1" max="1" width="14.5703125" customWidth="1"/>
    <col min="2" max="3" width="12.28515625" customWidth="1"/>
    <col min="4" max="4" width="49.28515625" customWidth="1"/>
    <col min="5" max="5" width="58" customWidth="1"/>
    <col min="6" max="6" width="39.42578125" customWidth="1"/>
    <col min="7" max="7" width="16.7109375" customWidth="1"/>
    <col min="8" max="8" width="15" customWidth="1"/>
    <col min="9" max="9" width="12.7109375" customWidth="1"/>
    <col min="10" max="10" width="0" hidden="1" customWidth="1"/>
    <col min="12" max="12" width="6.28515625" customWidth="1"/>
    <col min="13" max="13" width="13" customWidth="1"/>
    <col min="15" max="15" width="17.42578125" customWidth="1"/>
  </cols>
  <sheetData>
    <row r="2" spans="1:10" x14ac:dyDescent="0.25">
      <c r="F2" s="34"/>
      <c r="G2" s="41"/>
      <c r="H2" s="41"/>
      <c r="I2" s="41"/>
    </row>
    <row r="3" spans="1:10" x14ac:dyDescent="0.25">
      <c r="A3" s="35" t="s">
        <v>0</v>
      </c>
      <c r="B3" s="36" t="s">
        <v>744</v>
      </c>
      <c r="C3" s="37" t="s">
        <v>745</v>
      </c>
      <c r="D3" s="36" t="s">
        <v>746</v>
      </c>
      <c r="E3" s="36" t="s">
        <v>747</v>
      </c>
      <c r="F3" s="36" t="s">
        <v>748</v>
      </c>
      <c r="G3" s="37" t="s">
        <v>749</v>
      </c>
      <c r="H3" s="36" t="s">
        <v>660</v>
      </c>
      <c r="I3" s="36" t="s">
        <v>750</v>
      </c>
      <c r="J3" s="38" t="s">
        <v>751</v>
      </c>
    </row>
    <row r="4" spans="1:10" x14ac:dyDescent="0.25">
      <c r="A4" s="4" t="s">
        <v>146</v>
      </c>
      <c r="B4" t="s">
        <v>752</v>
      </c>
      <c r="C4" s="14">
        <v>38054</v>
      </c>
      <c r="D4" t="s">
        <v>753</v>
      </c>
      <c r="E4" t="s">
        <v>754</v>
      </c>
      <c r="F4" t="s">
        <v>764</v>
      </c>
      <c r="G4" s="14">
        <v>42003</v>
      </c>
      <c r="H4" t="s">
        <v>674</v>
      </c>
      <c r="I4" t="s">
        <v>608</v>
      </c>
      <c r="J4" s="39" t="b">
        <f>IF(Action_log[[#This Row],[Status Update]]="Cleared", 1, IF(Action_log[[#This Row],[Status Update]]="Ongoing", 2, IF(Action_log[[#This Row],[Status Update]]="OVERDUE",3)))</f>
        <v>0</v>
      </c>
    </row>
    <row r="5" spans="1:10" x14ac:dyDescent="0.25">
      <c r="A5" s="4" t="s">
        <v>146</v>
      </c>
      <c r="B5" t="s">
        <v>756</v>
      </c>
      <c r="C5" s="14">
        <v>40971</v>
      </c>
      <c r="D5" t="s">
        <v>759</v>
      </c>
      <c r="E5" t="s">
        <v>760</v>
      </c>
      <c r="F5" t="s">
        <v>772</v>
      </c>
      <c r="G5" s="14">
        <v>41032</v>
      </c>
      <c r="H5" t="s">
        <v>674</v>
      </c>
      <c r="I5" t="s">
        <v>608</v>
      </c>
      <c r="J5" s="39" t="b">
        <f>IF(Action_log[[#This Row],[Status Update]]="Cleared", 1, IF(Action_log[[#This Row],[Status Update]]="Ongoing", 2, IF(Action_log[[#This Row],[Status Update]]="OVERDUE",3)))</f>
        <v>0</v>
      </c>
    </row>
    <row r="6" spans="1:10" x14ac:dyDescent="0.25">
      <c r="A6" s="4" t="s">
        <v>146</v>
      </c>
      <c r="B6" t="s">
        <v>755</v>
      </c>
      <c r="C6" s="14">
        <v>38054</v>
      </c>
      <c r="D6" t="s">
        <v>761</v>
      </c>
      <c r="E6" t="s">
        <v>762</v>
      </c>
      <c r="F6" t="s">
        <v>765</v>
      </c>
      <c r="G6" s="14">
        <v>41183</v>
      </c>
      <c r="H6" t="s">
        <v>674</v>
      </c>
      <c r="I6" t="s">
        <v>606</v>
      </c>
      <c r="J6" s="39" t="b">
        <f>IF(Action_log[[#This Row],[Status Update]]="Cleared", 1, IF(Action_log[[#This Row],[Status Update]]="Ongoing", 2, IF(Action_log[[#This Row],[Status Update]]="OVERDUE",3)))</f>
        <v>0</v>
      </c>
    </row>
    <row r="7" spans="1:10" x14ac:dyDescent="0.25">
      <c r="A7" s="4" t="s">
        <v>146</v>
      </c>
      <c r="B7" t="s">
        <v>757</v>
      </c>
      <c r="C7" s="14">
        <v>38054</v>
      </c>
      <c r="D7" t="s">
        <v>758</v>
      </c>
      <c r="E7" t="s">
        <v>763</v>
      </c>
      <c r="F7" t="s">
        <v>767</v>
      </c>
      <c r="G7" s="14">
        <v>41392</v>
      </c>
      <c r="H7" t="s">
        <v>674</v>
      </c>
      <c r="I7" t="s">
        <v>606</v>
      </c>
      <c r="J7" s="40" t="b">
        <f>IF(Action_log[[#This Row],[Status Update]]="Cleared", 1, IF(Action_log[[#This Row],[Status Update]]="Ongoing", 2, IF(Action_log[[#This Row],[Status Update]]="OVERDUE",3)))</f>
        <v>0</v>
      </c>
    </row>
    <row r="8" spans="1:10" x14ac:dyDescent="0.25">
      <c r="A8" s="4" t="s">
        <v>171</v>
      </c>
      <c r="B8" t="s">
        <v>752</v>
      </c>
      <c r="C8" s="14">
        <v>39876</v>
      </c>
      <c r="D8" t="s">
        <v>753</v>
      </c>
      <c r="E8" t="s">
        <v>754</v>
      </c>
      <c r="F8" t="s">
        <v>768</v>
      </c>
      <c r="G8" s="14">
        <v>41907</v>
      </c>
      <c r="H8" t="s">
        <v>674</v>
      </c>
      <c r="I8" t="s">
        <v>606</v>
      </c>
      <c r="J8" s="39" t="b">
        <f>IF(Action_log[[#This Row],[Status Update]]="Cleared", 1, IF(Action_log[[#This Row],[Status Update]]="Ongoing", 2, IF(Action_log[[#This Row],[Status Update]]="OVERDUE",3)))</f>
        <v>0</v>
      </c>
    </row>
    <row r="9" spans="1:10" x14ac:dyDescent="0.25">
      <c r="A9" s="4" t="s">
        <v>171</v>
      </c>
      <c r="B9" t="s">
        <v>755</v>
      </c>
      <c r="C9" s="14">
        <v>40971</v>
      </c>
      <c r="D9" t="s">
        <v>759</v>
      </c>
      <c r="E9" t="s">
        <v>760</v>
      </c>
      <c r="F9" t="s">
        <v>772</v>
      </c>
      <c r="G9" s="14">
        <v>41032</v>
      </c>
      <c r="H9" t="s">
        <v>674</v>
      </c>
      <c r="I9" t="s">
        <v>608</v>
      </c>
      <c r="J9" s="39" t="b">
        <f>IF(Action_log[[#This Row],[Status Update]]="Cleared", 1, IF(Action_log[[#This Row],[Status Update]]="Ongoing", 2, IF(Action_log[[#This Row],[Status Update]]="OVERDUE",3)))</f>
        <v>0</v>
      </c>
    </row>
    <row r="10" spans="1:10" x14ac:dyDescent="0.25">
      <c r="A10" s="4" t="s">
        <v>171</v>
      </c>
      <c r="B10" t="s">
        <v>756</v>
      </c>
      <c r="C10" s="14">
        <v>39876</v>
      </c>
      <c r="D10" t="s">
        <v>761</v>
      </c>
      <c r="E10" t="s">
        <v>762</v>
      </c>
      <c r="F10" t="s">
        <v>766</v>
      </c>
      <c r="G10" s="14">
        <v>41487</v>
      </c>
      <c r="H10" t="s">
        <v>674</v>
      </c>
      <c r="I10" t="s">
        <v>608</v>
      </c>
      <c r="J10" s="39" t="b">
        <f>IF(Action_log[[#This Row],[Status Update]]="Cleared", 1, IF(Action_log[[#This Row],[Status Update]]="Ongoing", 2, IF(Action_log[[#This Row],[Status Update]]="OVERDUE",3)))</f>
        <v>0</v>
      </c>
    </row>
    <row r="11" spans="1:10" x14ac:dyDescent="0.25">
      <c r="A11" s="4" t="s">
        <v>171</v>
      </c>
      <c r="B11" t="s">
        <v>757</v>
      </c>
      <c r="C11" s="14">
        <v>39876</v>
      </c>
      <c r="D11" t="s">
        <v>758</v>
      </c>
      <c r="E11" t="s">
        <v>763</v>
      </c>
      <c r="F11" t="s">
        <v>769</v>
      </c>
      <c r="G11" s="14">
        <v>41800</v>
      </c>
      <c r="H11" t="s">
        <v>674</v>
      </c>
      <c r="I11" t="s">
        <v>607</v>
      </c>
      <c r="J11" s="40" t="b">
        <f>IF(Action_log[[#This Row],[Status Update]]="Cleared", 1, IF(Action_log[[#This Row],[Status Update]]="Ongoing", 2, IF(Action_log[[#This Row],[Status Update]]="OVERDUE",3)))</f>
        <v>0</v>
      </c>
    </row>
    <row r="12" spans="1:10" x14ac:dyDescent="0.25">
      <c r="A12" s="4" t="s">
        <v>165</v>
      </c>
      <c r="B12" t="s">
        <v>752</v>
      </c>
      <c r="C12" s="14">
        <v>39544</v>
      </c>
      <c r="D12" t="s">
        <v>753</v>
      </c>
      <c r="E12" t="s">
        <v>754</v>
      </c>
      <c r="F12" t="s">
        <v>770</v>
      </c>
      <c r="G12" s="14">
        <v>41332</v>
      </c>
      <c r="H12" t="s">
        <v>674</v>
      </c>
      <c r="I12" t="s">
        <v>607</v>
      </c>
      <c r="J12" s="39" t="b">
        <f>IF(Action_log[[#This Row],[Status Update]]="Cleared", 1, IF(Action_log[[#This Row],[Status Update]]="Ongoing", 2, IF(Action_log[[#This Row],[Status Update]]="OVERDUE",3)))</f>
        <v>0</v>
      </c>
    </row>
    <row r="13" spans="1:10" x14ac:dyDescent="0.25">
      <c r="A13" s="4" t="s">
        <v>165</v>
      </c>
      <c r="B13" t="s">
        <v>755</v>
      </c>
      <c r="C13" s="14">
        <v>40971</v>
      </c>
      <c r="D13" t="s">
        <v>759</v>
      </c>
      <c r="E13" t="s">
        <v>760</v>
      </c>
      <c r="F13" t="s">
        <v>772</v>
      </c>
      <c r="G13" s="14">
        <v>41032</v>
      </c>
      <c r="H13" t="s">
        <v>674</v>
      </c>
      <c r="I13" t="s">
        <v>606</v>
      </c>
      <c r="J13" s="39" t="b">
        <f>IF(Action_log[[#This Row],[Status Update]]="Cleared", 1, IF(Action_log[[#This Row],[Status Update]]="Ongoing", 2, IF(Action_log[[#This Row],[Status Update]]="OVERDUE",3)))</f>
        <v>0</v>
      </c>
    </row>
    <row r="14" spans="1:10" x14ac:dyDescent="0.25">
      <c r="A14" s="4" t="s">
        <v>165</v>
      </c>
      <c r="B14" t="s">
        <v>756</v>
      </c>
      <c r="C14" s="14">
        <v>39544</v>
      </c>
      <c r="D14" t="s">
        <v>761</v>
      </c>
      <c r="E14" t="s">
        <v>762</v>
      </c>
      <c r="F14" t="s">
        <v>765</v>
      </c>
      <c r="G14" s="14">
        <v>41551</v>
      </c>
      <c r="H14" t="s">
        <v>674</v>
      </c>
      <c r="I14" t="s">
        <v>607</v>
      </c>
      <c r="J14" s="39" t="b">
        <f>IF(Action_log[[#This Row],[Status Update]]="Cleared", 1, IF(Action_log[[#This Row],[Status Update]]="Ongoing", 2, IF(Action_log[[#This Row],[Status Update]]="OVERDUE",3)))</f>
        <v>0</v>
      </c>
    </row>
    <row r="15" spans="1:10" x14ac:dyDescent="0.25">
      <c r="A15" s="4" t="s">
        <v>165</v>
      </c>
      <c r="B15" t="s">
        <v>757</v>
      </c>
      <c r="C15" s="14">
        <v>39544</v>
      </c>
      <c r="D15" t="s">
        <v>758</v>
      </c>
      <c r="E15" t="s">
        <v>763</v>
      </c>
      <c r="F15" t="s">
        <v>771</v>
      </c>
      <c r="G15" s="14">
        <v>41670</v>
      </c>
      <c r="H15" t="s">
        <v>674</v>
      </c>
      <c r="I15" t="s">
        <v>608</v>
      </c>
      <c r="J15" s="40" t="b">
        <f>IF(Action_log[[#This Row],[Status Update]]="Cleared", 1, IF(Action_log[[#This Row],[Status Update]]="Ongoing", 2, IF(Action_log[[#This Row],[Status Update]]="OVERDUE",3)))</f>
        <v>0</v>
      </c>
    </row>
  </sheetData>
  <mergeCells count="1">
    <mergeCell ref="G2:I2"/>
  </mergeCells>
  <dataValidations count="1">
    <dataValidation type="date" operator="greaterThan" allowBlank="1" showInputMessage="1" showErrorMessage="1" sqref="C4:C15 G5 G9 G13:G14" xr:uid="{DB804251-6E1B-4767-BC07-B37B15B29CF3}">
      <formula1>1</formula1>
    </dataValidation>
  </dataValidations>
  <pageMargins left="0.7" right="0.7" top="0.75" bottom="0.75" header="0.3" footer="0.3"/>
  <pageSetup paperSize="9" orientation="portrait"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Register</vt:lpstr>
      <vt:lpstr>Budget</vt:lpstr>
      <vt:lpstr>Progress</vt:lpstr>
      <vt:lpstr>Sheet1</vt:lpstr>
      <vt:lpstr>Sheet2</vt:lpstr>
      <vt:lpstr>Actualk Costs</vt:lpstr>
      <vt:lpstr>Contracts</vt:lpstr>
      <vt:lpstr>Business Case</vt:lpstr>
      <vt:lpstr>Suppliers</vt:lpstr>
      <vt:lpstr>Risk Issue Register</vt:lpstr>
      <vt:lpstr>Sheet3</vt:lpstr>
      <vt:lpstr>Critical Action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Marianne</dc:creator>
  <cp:lastModifiedBy>Ping Li</cp:lastModifiedBy>
  <dcterms:created xsi:type="dcterms:W3CDTF">2024-01-09T17:41:19Z</dcterms:created>
  <dcterms:modified xsi:type="dcterms:W3CDTF">2024-04-20T10:02:04Z</dcterms:modified>
</cp:coreProperties>
</file>